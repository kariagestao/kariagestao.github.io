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82" firstSheet="0" activeTab="3" autoFilterDateGrouping="1"/>
  </bookViews>
  <sheets>
    <sheet xmlns:r="http://schemas.openxmlformats.org/officeDocument/2006/relationships" name="📋 INSTRUÇÕES" sheetId="1" state="visible" r:id="rId1"/>
    <sheet xmlns:r="http://schemas.openxmlformats.org/officeDocument/2006/relationships" name="BASE DE DADOS" sheetId="2" state="visible" r:id="rId2"/>
    <sheet xmlns:r="http://schemas.openxmlformats.org/officeDocument/2006/relationships" name="VOLUMETRIA DE PROCESSOS" sheetId="3" state="visible" r:id="rId3"/>
    <sheet xmlns:r="http://schemas.openxmlformats.org/officeDocument/2006/relationships" name="PRODUTIVIDADE E PRAZOS" sheetId="4" state="visible" r:id="rId4"/>
  </sheets>
  <definedNames>
    <definedName name="_xlnm._FilterDatabase" localSheetId="1" hidden="1">'BASE DE DADOS'!$I$3:$N$3</definedName>
    <definedName name="_xlnm._FilterDatabase" localSheetId="3" hidden="1">'PRODUTIVIDADE E PRAZOS'!$B$28:$F$28</definedName>
  </definedNames>
  <calcPr calcId="191029" fullCalcOnLoad="1"/>
</workbook>
</file>

<file path=xl/styles.xml><?xml version="1.0" encoding="utf-8"?>
<styleSheet xmlns="http://schemas.openxmlformats.org/spreadsheetml/2006/main">
  <numFmts count="0"/>
  <fonts count="37">
    <font>
      <name val="Calibri"/>
      <charset val="1"/>
      <family val="2"/>
      <color theme="1"/>
      <sz val="11"/>
    </font>
    <font>
      <name val="Calibri"/>
      <charset val="1"/>
      <b val="1"/>
      <color rgb="FFFFFFFF"/>
      <sz val="16"/>
    </font>
    <font>
      <name val="Calibri"/>
      <charset val="1"/>
      <i val="1"/>
      <color rgb="FFF8F6F3"/>
      <sz val="11"/>
    </font>
    <font>
      <name val="Calibri"/>
      <charset val="1"/>
      <b val="1"/>
      <color rgb="FF0D1F2D"/>
      <sz val="13"/>
    </font>
    <font>
      <name val="Calibri"/>
      <charset val="1"/>
      <color rgb="FFFFFFFF"/>
      <sz val="11"/>
    </font>
    <font>
      <name val="Calibri"/>
      <charset val="1"/>
      <b val="1"/>
      <color rgb="FFB87333"/>
      <sz val="12"/>
    </font>
    <font>
      <name val="Calibri"/>
      <charset val="1"/>
      <color rgb="FF1A1A1A"/>
      <sz val="11"/>
    </font>
    <font>
      <name val="Calibri"/>
      <charset val="1"/>
      <color rgb="FFC62828"/>
      <sz val="11"/>
    </font>
    <font>
      <name val="Calibri"/>
      <charset val="1"/>
      <color rgb="FF2E7D32"/>
      <sz val="11"/>
    </font>
    <font>
      <name val="Calibri"/>
      <charset val="1"/>
      <i val="1"/>
      <color rgb="FFCCCCCC"/>
      <sz val="9"/>
    </font>
    <font>
      <name val="Calibri"/>
      <charset val="1"/>
      <b val="1"/>
      <color rgb="FFFFFFFF"/>
      <sz val="13"/>
    </font>
    <font>
      <name val="Calibri"/>
      <charset val="1"/>
      <i val="1"/>
      <color rgb="FF0D1F2D"/>
      <sz val="9"/>
    </font>
    <font>
      <name val="Calibri"/>
      <charset val="1"/>
      <b val="1"/>
      <color rgb="FFFFFFFF"/>
      <sz val="10"/>
    </font>
    <font>
      <name val="Calibri"/>
      <charset val="1"/>
      <i val="1"/>
      <color rgb="FFB87333"/>
      <sz val="9"/>
    </font>
    <font>
      <name val="Calibri"/>
      <charset val="1"/>
      <b val="1"/>
      <color rgb="FFFFFFFF"/>
      <sz val="12"/>
    </font>
    <font>
      <name val="Calibri"/>
      <charset val="1"/>
      <sz val="10"/>
    </font>
    <font>
      <name val="Calibri"/>
      <charset val="1"/>
      <b val="1"/>
      <sz val="10"/>
    </font>
    <font>
      <name val="Calibri"/>
      <charset val="1"/>
      <b val="1"/>
      <color rgb="FFFFFFFF"/>
      <sz val="11"/>
    </font>
    <font>
      <name val="Calibri"/>
      <charset val="1"/>
      <i val="1"/>
      <color rgb="FFCCCCCC"/>
      <sz val="8"/>
    </font>
    <font>
      <name val="Calibri"/>
      <charset val="1"/>
      <b val="1"/>
      <color rgb="FF1A1A1A"/>
      <sz val="10"/>
    </font>
    <font>
      <name val="Calibri"/>
      <charset val="1"/>
      <b val="1"/>
      <color rgb="FF0D1F2D"/>
      <sz val="11"/>
    </font>
    <font>
      <name val="Calibri"/>
      <charset val="1"/>
      <color rgb="FF1A1A1A"/>
      <sz val="10"/>
    </font>
    <font>
      <name val="Calibri"/>
      <charset val="1"/>
      <b val="1"/>
      <color rgb="FF2E7D32"/>
      <sz val="11"/>
    </font>
    <font>
      <name val="Calibri"/>
      <charset val="1"/>
      <b val="1"/>
      <color rgb="FFF9A825"/>
      <sz val="11"/>
    </font>
    <font>
      <name val="Calibri"/>
      <charset val="1"/>
      <b val="1"/>
      <color rgb="FFC62828"/>
      <sz val="11"/>
    </font>
    <font>
      <name val="Calibri"/>
      <charset val="1"/>
      <b val="1"/>
      <color rgb="FF2E7D32"/>
      <sz val="14"/>
    </font>
    <font>
      <name val="Calibri"/>
      <charset val="1"/>
      <i val="1"/>
      <color rgb="FF777777"/>
      <sz val="9"/>
    </font>
    <font>
      <name val="Calibri"/>
      <charset val="1"/>
      <color rgb="FF2E7D32"/>
      <sz val="10"/>
    </font>
    <font>
      <name val="Calibri"/>
      <charset val="1"/>
      <color rgb="FFC62828"/>
      <sz val="10"/>
    </font>
    <font>
      <name val="Calibri"/>
      <family val="2"/>
      <i val="1"/>
      <sz val="10"/>
    </font>
    <font>
      <name val="Calibri"/>
      <family val="2"/>
      <sz val="10"/>
    </font>
    <font>
      <name val="Calibri"/>
      <charset val="1"/>
      <family val="2"/>
      <sz val="8"/>
    </font>
    <font>
      <name val="Calibri"/>
      <family val="2"/>
      <b val="1"/>
      <color rgb="FFFFFFFF"/>
      <sz val="10"/>
    </font>
    <font>
      <name val="Calibri"/>
      <family val="2"/>
      <b val="1"/>
      <color rgb="FFFFFFFF"/>
      <sz val="12"/>
    </font>
    <font>
      <name val="Calibri"/>
      <family val="2"/>
      <i val="1"/>
      <color rgb="FFCCCCCC"/>
      <sz val="8"/>
    </font>
    <font>
      <name val="Calibri"/>
      <family val="2"/>
      <b val="1"/>
      <i val="1"/>
      <color rgb="FFC00000"/>
      <sz val="9"/>
    </font>
    <font>
      <name val="Calibri"/>
      <family val="2"/>
      <color rgb="FFC62828"/>
      <sz val="11"/>
    </font>
  </fonts>
  <fills count="12">
    <fill>
      <patternFill/>
    </fill>
    <fill>
      <patternFill patternType="gray125"/>
    </fill>
    <fill>
      <patternFill patternType="solid">
        <fgColor rgb="FF0D1F2D"/>
        <bgColor rgb="FF1A1A1A"/>
      </patternFill>
    </fill>
    <fill>
      <patternFill patternType="solid">
        <fgColor rgb="FF1B3A52"/>
        <bgColor rgb="FF0D1F2D"/>
      </patternFill>
    </fill>
    <fill>
      <patternFill patternType="solid">
        <fgColor rgb="FFB87333"/>
        <bgColor rgb="FFDB8238"/>
      </patternFill>
    </fill>
    <fill>
      <patternFill patternType="solid">
        <fgColor rgb="FFF8F6F3"/>
        <bgColor rgb="FFFAFAFA"/>
      </patternFill>
    </fill>
    <fill>
      <patternFill patternType="solid">
        <fgColor rgb="FFFFFFFF"/>
        <bgColor rgb="FFFAFAFA"/>
      </patternFill>
    </fill>
    <fill>
      <patternFill patternType="solid">
        <fgColor theme="0"/>
        <bgColor rgb="FFF8F6F3"/>
      </patternFill>
    </fill>
    <fill>
      <patternFill patternType="solid">
        <fgColor theme="0"/>
        <bgColor indexed="64"/>
      </patternFill>
    </fill>
    <fill>
      <patternFill patternType="solid">
        <fgColor theme="0"/>
        <bgColor rgb="FFFAFAFA"/>
      </patternFill>
    </fill>
    <fill>
      <patternFill patternType="solid">
        <fgColor theme="0"/>
        <bgColor rgb="FF1A1A1A"/>
      </patternFill>
    </fill>
    <fill>
      <patternFill patternType="solid">
        <fgColor theme="0"/>
        <bgColor rgb="FFDB8238"/>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top style="thin">
        <color rgb="FFCCCCCC"/>
      </top>
      <bottom style="thin">
        <color rgb="FFCCCCCC"/>
      </bottom>
      <diagonal/>
    </border>
    <border>
      <left/>
      <right/>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1">
    <xf numFmtId="0" fontId="0" fillId="0" borderId="0"/>
  </cellStyleXfs>
  <cellXfs count="82">
    <xf numFmtId="0" fontId="0" fillId="0" borderId="0" pivotButton="0" quotePrefix="0" xfId="0"/>
    <xf numFmtId="0" fontId="18" fillId="0" borderId="0" applyAlignment="1" pivotButton="0" quotePrefix="0" xfId="0">
      <alignment horizontal="center" vertical="center"/>
    </xf>
    <xf numFmtId="0" fontId="14" fillId="2" borderId="0" applyAlignment="1" pivotButton="0" quotePrefix="0" xfId="0">
      <alignment horizontal="center" vertical="center"/>
    </xf>
    <xf numFmtId="0" fontId="13" fillId="5" borderId="0" applyAlignment="1" pivotButton="0" quotePrefix="0" xfId="0">
      <alignment horizontal="center" vertical="center"/>
    </xf>
    <xf numFmtId="0" fontId="11" fillId="5" borderId="0" applyAlignment="1" pivotButton="0" quotePrefix="0" xfId="0">
      <alignment horizontal="center" vertical="center"/>
    </xf>
    <xf numFmtId="0" fontId="10" fillId="2" borderId="0"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3" fillId="0" borderId="0" applyAlignment="1" pivotButton="0" quotePrefix="0" xfId="0">
      <alignment horizontal="left" vertical="center"/>
    </xf>
    <xf numFmtId="0" fontId="2" fillId="3" borderId="0" applyAlignment="1" pivotButton="0" quotePrefix="0" xfId="0">
      <alignment horizontal="center" vertical="center"/>
    </xf>
    <xf numFmtId="0" fontId="1" fillId="2" borderId="0" applyAlignment="1" pivotButton="0" quotePrefix="0" xfId="0">
      <alignment horizontal="center" vertical="center"/>
    </xf>
    <xf numFmtId="0" fontId="0" fillId="2" borderId="0" pivotButton="0" quotePrefix="0" xfId="0"/>
    <xf numFmtId="0" fontId="0" fillId="4" borderId="0" pivotButton="0" quotePrefix="0" xfId="0"/>
    <xf numFmtId="0" fontId="12" fillId="4" borderId="1" applyAlignment="1" pivotButton="0" quotePrefix="0" xfId="0">
      <alignment horizontal="center" vertical="center" wrapText="1"/>
    </xf>
    <xf numFmtId="0" fontId="15" fillId="5" borderId="1" applyAlignment="1" pivotButton="0" quotePrefix="0" xfId="0">
      <alignment horizontal="left" vertical="center"/>
    </xf>
    <xf numFmtId="0" fontId="16" fillId="5" borderId="1" applyAlignment="1" pivotButton="0" quotePrefix="0" xfId="0">
      <alignment horizontal="center" vertical="center"/>
    </xf>
    <xf numFmtId="0" fontId="15" fillId="5" borderId="1" applyAlignment="1" pivotButton="0" quotePrefix="0" xfId="0">
      <alignment horizontal="center" vertical="center"/>
    </xf>
    <xf numFmtId="0" fontId="0" fillId="5" borderId="1" pivotButton="0" quotePrefix="0" xfId="0"/>
    <xf numFmtId="0" fontId="15" fillId="6" borderId="1" applyAlignment="1" pivotButton="0" quotePrefix="0" xfId="0">
      <alignment horizontal="left" vertical="center"/>
    </xf>
    <xf numFmtId="0" fontId="15" fillId="6" borderId="1" applyAlignment="1" pivotButton="0" quotePrefix="0" xfId="0">
      <alignment horizontal="center" vertical="center"/>
    </xf>
    <xf numFmtId="0" fontId="0" fillId="6" borderId="1" pivotButton="0" quotePrefix="0" xfId="0"/>
    <xf numFmtId="0" fontId="17" fillId="2" borderId="1" applyAlignment="1" pivotButton="0" quotePrefix="0" xfId="0">
      <alignment horizontal="center" vertical="center"/>
    </xf>
    <xf numFmtId="0" fontId="12" fillId="2" borderId="1" applyAlignment="1" pivotButton="0" quotePrefix="0" xfId="0">
      <alignment horizontal="center" vertical="center"/>
    </xf>
    <xf numFmtId="0" fontId="19" fillId="5" borderId="1" applyAlignment="1" pivotButton="0" quotePrefix="0" xfId="0">
      <alignment horizontal="left" vertical="center"/>
    </xf>
    <xf numFmtId="0" fontId="20" fillId="5" borderId="1" applyAlignment="1" pivotButton="0" quotePrefix="0" xfId="0">
      <alignment horizontal="center" vertical="center"/>
    </xf>
    <xf numFmtId="0" fontId="21" fillId="6" borderId="1" applyAlignment="1" pivotButton="0" quotePrefix="0" xfId="0">
      <alignment horizontal="left" vertical="center"/>
    </xf>
    <xf numFmtId="0" fontId="22" fillId="6" borderId="1" applyAlignment="1" pivotButton="0" quotePrefix="0" xfId="0">
      <alignment horizontal="center" vertical="center"/>
    </xf>
    <xf numFmtId="0" fontId="21" fillId="5" borderId="1" applyAlignment="1" pivotButton="0" quotePrefix="0" xfId="0">
      <alignment horizontal="left" vertical="center"/>
    </xf>
    <xf numFmtId="0" fontId="23" fillId="5" borderId="1" applyAlignment="1" pivotButton="0" quotePrefix="0" xfId="0">
      <alignment horizontal="center" vertical="center"/>
    </xf>
    <xf numFmtId="0" fontId="24" fillId="6" borderId="1" applyAlignment="1" pivotButton="0" quotePrefix="0" xfId="0">
      <alignment horizontal="center" vertical="center"/>
    </xf>
    <xf numFmtId="0" fontId="25" fillId="5" borderId="1" applyAlignment="1" pivotButton="0" quotePrefix="0" xfId="0">
      <alignment horizontal="center" vertical="center"/>
    </xf>
    <xf numFmtId="0" fontId="26" fillId="5" borderId="1" applyAlignment="1" pivotButton="0" quotePrefix="0" xfId="0">
      <alignment horizontal="left" vertical="center"/>
    </xf>
    <xf numFmtId="0" fontId="27" fillId="5" borderId="1" applyAlignment="1" pivotButton="0" quotePrefix="0" xfId="0">
      <alignment horizontal="center" vertical="center"/>
    </xf>
    <xf numFmtId="0" fontId="28" fillId="5" borderId="1" applyAlignment="1" pivotButton="0" quotePrefix="0" xfId="0">
      <alignment horizontal="center" vertical="center"/>
    </xf>
    <xf numFmtId="0" fontId="17" fillId="2" borderId="1" applyAlignment="1" pivotButton="0" quotePrefix="0" xfId="0">
      <alignment horizontal="center" vertical="center"/>
    </xf>
    <xf numFmtId="0" fontId="12" fillId="4" borderId="2" applyAlignment="1" pivotButton="0" quotePrefix="0" xfId="0">
      <alignment horizontal="center" vertical="center" wrapText="1"/>
    </xf>
    <xf numFmtId="0" fontId="29" fillId="7" borderId="0" applyAlignment="1" pivotButton="0" quotePrefix="0" xfId="0">
      <alignment horizontal="center" vertical="center"/>
    </xf>
    <xf numFmtId="0" fontId="30" fillId="9" borderId="0" applyAlignment="1" pivotButton="0" quotePrefix="0" xfId="0">
      <alignment horizontal="center" vertical="center"/>
    </xf>
    <xf numFmtId="14" fontId="12" fillId="4" borderId="2" applyAlignment="1" pivotButton="0" quotePrefix="0" xfId="0">
      <alignment horizontal="center" vertical="center" wrapText="1"/>
    </xf>
    <xf numFmtId="14" fontId="29" fillId="7" borderId="0" applyAlignment="1" pivotButton="0" quotePrefix="0" xfId="0">
      <alignment horizontal="center" vertical="center"/>
    </xf>
    <xf numFmtId="14" fontId="30" fillId="9" borderId="0" applyAlignment="1" pivotButton="0" quotePrefix="0" xfId="0">
      <alignment horizontal="center" vertical="center"/>
    </xf>
    <xf numFmtId="0" fontId="16" fillId="5" borderId="1" applyAlignment="1" pivotButton="0" quotePrefix="0" xfId="0">
      <alignment horizontal="center" vertical="center"/>
    </xf>
    <xf numFmtId="0" fontId="16" fillId="6" borderId="1" applyAlignment="1" pivotButton="0" quotePrefix="0" xfId="0">
      <alignment horizontal="center" vertical="center"/>
    </xf>
    <xf numFmtId="0" fontId="32" fillId="4" borderId="3" applyAlignment="1" pivotButton="0" quotePrefix="0" xfId="0">
      <alignment horizontal="center" vertical="center" wrapText="1"/>
    </xf>
    <xf numFmtId="0" fontId="15" fillId="9" borderId="0" applyAlignment="1" pivotButton="0" quotePrefix="0" xfId="0">
      <alignment horizontal="left" vertical="center"/>
    </xf>
    <xf numFmtId="0" fontId="16" fillId="9" borderId="0" applyAlignment="1" pivotButton="0" quotePrefix="0" xfId="0">
      <alignment horizontal="center" vertical="center"/>
    </xf>
    <xf numFmtId="0" fontId="15" fillId="9" borderId="0" applyAlignment="1" pivotButton="0" quotePrefix="0" xfId="0">
      <alignment horizontal="center" vertical="center"/>
    </xf>
    <xf numFmtId="0" fontId="0" fillId="9" borderId="0" pivotButton="0" quotePrefix="0" xfId="0"/>
    <xf numFmtId="0" fontId="14" fillId="10" borderId="0" applyAlignment="1" pivotButton="0" quotePrefix="0" xfId="0">
      <alignment vertical="center"/>
    </xf>
    <xf numFmtId="0" fontId="12" fillId="4" borderId="4" applyAlignment="1" pivotButton="0" quotePrefix="0" xfId="0">
      <alignment horizontal="center" vertical="center" wrapText="1"/>
    </xf>
    <xf numFmtId="0" fontId="15" fillId="5" borderId="4" applyAlignment="1" pivotButton="0" quotePrefix="0" xfId="0">
      <alignment horizontal="center" vertical="center"/>
    </xf>
    <xf numFmtId="0" fontId="15" fillId="6" borderId="4" applyAlignment="1" pivotButton="0" quotePrefix="0" xfId="0">
      <alignment horizontal="center" vertical="center"/>
    </xf>
    <xf numFmtId="0" fontId="17" fillId="2" borderId="4" applyAlignment="1" pivotButton="0" quotePrefix="0" xfId="0">
      <alignment horizontal="center" vertical="center"/>
    </xf>
    <xf numFmtId="0" fontId="14" fillId="10" borderId="0" applyAlignment="1" pivotButton="0" quotePrefix="0" xfId="0">
      <alignment vertical="center"/>
    </xf>
    <xf numFmtId="0" fontId="12" fillId="11" borderId="0" applyAlignment="1" pivotButton="0" quotePrefix="0" xfId="0">
      <alignment horizontal="center" vertical="center" wrapText="1"/>
    </xf>
    <xf numFmtId="0" fontId="17" fillId="10" borderId="0" applyAlignment="1" pivotButton="0" quotePrefix="0" xfId="0">
      <alignment horizontal="center" vertical="center"/>
    </xf>
    <xf numFmtId="0" fontId="14" fillId="2" borderId="5" applyAlignment="1" pivotButton="0" quotePrefix="0" xfId="0">
      <alignment horizontal="center" vertical="center"/>
    </xf>
    <xf numFmtId="0" fontId="0" fillId="8" borderId="0" pivotButton="0" quotePrefix="0" xfId="0"/>
    <xf numFmtId="14" fontId="30" fillId="8" borderId="0" applyAlignment="1" pivotButton="0" quotePrefix="0" xfId="0">
      <alignment horizontal="center" vertical="center"/>
    </xf>
    <xf numFmtId="0" fontId="12" fillId="3" borderId="2" applyAlignment="1" pivotButton="0" quotePrefix="0" xfId="0">
      <alignment horizontal="center" vertical="center" wrapText="1"/>
    </xf>
    <xf numFmtId="14" fontId="12" fillId="3" borderId="2" applyAlignment="1" pivotButton="0" quotePrefix="0" xfId="0">
      <alignment horizontal="center" vertical="center" wrapText="1"/>
    </xf>
    <xf numFmtId="0" fontId="0" fillId="0" borderId="0" applyAlignment="1" pivotButton="0" quotePrefix="0" xfId="0">
      <alignment horizontal="center" vertical="center"/>
    </xf>
    <xf numFmtId="0" fontId="0" fillId="8" borderId="0" applyAlignment="1" pivotButton="0" quotePrefix="0" xfId="0">
      <alignment horizontal="center" vertical="center"/>
    </xf>
    <xf numFmtId="0" fontId="30" fillId="8" borderId="0" applyAlignment="1" pivotButton="0" quotePrefix="0" xfId="0">
      <alignment horizontal="center" vertical="center"/>
    </xf>
    <xf numFmtId="14" fontId="0" fillId="8" borderId="0" applyAlignment="1" pivotButton="0" quotePrefix="0" xfId="0">
      <alignment horizontal="center" vertical="center"/>
    </xf>
    <xf numFmtId="0" fontId="30" fillId="5" borderId="1" applyAlignment="1" pivotButton="0" quotePrefix="0" xfId="0">
      <alignment horizontal="left" vertical="center"/>
    </xf>
    <xf numFmtId="0" fontId="15" fillId="9" borderId="1" applyAlignment="1" pivotButton="0" quotePrefix="0" xfId="0">
      <alignment horizontal="left" vertical="center"/>
    </xf>
    <xf numFmtId="0" fontId="16" fillId="9" borderId="1" applyAlignment="1" pivotButton="0" quotePrefix="0" xfId="0">
      <alignment horizontal="center" vertical="center"/>
    </xf>
    <xf numFmtId="0" fontId="27" fillId="9" borderId="1" applyAlignment="1" pivotButton="0" quotePrefix="0" xfId="0">
      <alignment horizontal="center" vertical="center"/>
    </xf>
    <xf numFmtId="0" fontId="28" fillId="9" borderId="1" applyAlignment="1" pivotButton="0" quotePrefix="0" xfId="0">
      <alignment horizontal="center" vertical="center"/>
    </xf>
    <xf numFmtId="0" fontId="15" fillId="9" borderId="1" applyAlignment="1" pivotButton="0" quotePrefix="0" xfId="0">
      <alignment horizontal="center" vertical="center"/>
    </xf>
    <xf numFmtId="0" fontId="30" fillId="9" borderId="1" applyAlignment="1" pivotButton="0" quotePrefix="0" xfId="0">
      <alignment horizontal="left" vertical="center"/>
    </xf>
    <xf numFmtId="0" fontId="33" fillId="2" borderId="0" applyAlignment="1" pivotButton="0" quotePrefix="0" xfId="0">
      <alignment horizontal="center" vertical="center"/>
    </xf>
    <xf numFmtId="0" fontId="34" fillId="0" borderId="0" applyAlignment="1" pivotButton="0" quotePrefix="0" xfId="0">
      <alignment horizontal="center" vertical="center"/>
    </xf>
    <xf numFmtId="0" fontId="35" fillId="5" borderId="0" applyAlignment="1" pivotButton="0" quotePrefix="0" xfId="0">
      <alignment horizontal="center" vertical="center"/>
    </xf>
    <xf numFmtId="0" fontId="36" fillId="0" borderId="0" applyAlignment="1" pivotButton="0" quotePrefix="0" xfId="0">
      <alignment horizontal="left" vertical="center"/>
    </xf>
    <xf numFmtId="0" fontId="0" fillId="0" borderId="5" pivotButton="0" quotePrefix="0" xfId="0"/>
    <xf numFmtId="0" fontId="0" fillId="0" borderId="8"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B87333"/>
      <rgbColor rgb="FF800080"/>
      <rgbColor rgb="FF4F81BD"/>
      <rgbColor rgb="FFCCCCCC"/>
      <rgbColor rgb="FF878787"/>
      <rgbColor rgb="FF8EA5CA"/>
      <rgbColor rgb="FFAA433F"/>
      <rgbColor rgb="FFF8F6F3"/>
      <rgbColor rgb="FFFAFAFA"/>
      <rgbColor rgb="FF660066"/>
      <rgbColor rgb="FFCC8F8E"/>
      <rgbColor rgb="FF0066CC"/>
      <rgbColor rgb="FFD9D9D9"/>
      <rgbColor rgb="FF000080"/>
      <rgbColor rgb="FFFF00FF"/>
      <rgbColor rgb="FFFFFF00"/>
      <rgbColor rgb="FF00FFFF"/>
      <rgbColor rgb="FF800080"/>
      <rgbColor rgb="FF800000"/>
      <rgbColor rgb="FF777777"/>
      <rgbColor rgb="FF0000FF"/>
      <rgbColor rgb="FF00CCFF"/>
      <rgbColor rgb="FFCCFFFF"/>
      <rgbColor rgb="FFCCFFCC"/>
      <rgbColor rgb="FFFFFF99"/>
      <rgbColor rgb="FFB3C992"/>
      <rgbColor rgb="FFFF99CC"/>
      <rgbColor rgb="FFCC99FF"/>
      <rgbColor rgb="FFFFCC99"/>
      <rgbColor rgb="FF426FA6"/>
      <rgbColor rgb="FF33CCCC"/>
      <rgbColor rgb="FF9BBB59"/>
      <rgbColor rgb="FFFFCC00"/>
      <rgbColor rgb="FFF9A825"/>
      <rgbColor rgb="FFDB8238"/>
      <rgbColor rgb="FF6F568D"/>
      <rgbColor rgb="FF87A44B"/>
      <rgbColor rgb="FF1B3A52"/>
      <rgbColor rgb="FF3D97AF"/>
      <rgbColor rgb="FF0D1F2D"/>
      <rgbColor rgb="FF333300"/>
      <rgbColor rgb="FFC62828"/>
      <rgbColor rgb="FFC0504D"/>
      <rgbColor rgb="FF555555"/>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pt-BR" sz="1800" b="1" strike="noStrike" spc="-1">
                <a:solidFill>
                  <a:srgbClr val="000000"/>
                </a:solidFill>
                <a:latin typeface="Calibri"/>
              </a:rPr>
              <a:t>Curva de Ajuizamento por Ano</a:t>
            </a:r>
          </a:p>
        </rich>
      </tx>
      <overlay val="0"/>
      <spPr>
        <a:noFill xmlns:a="http://schemas.openxmlformats.org/drawingml/2006/main"/>
        <a:ln xmlns:a="http://schemas.openxmlformats.org/drawingml/2006/main" w="0">
          <a:noFill/>
          <a:prstDash val="solid"/>
        </a:ln>
      </spPr>
    </title>
    <plotArea>
      <layout>
        <manualLayout>
          <layoutTarget val="inner"/>
          <xMode val="edge"/>
          <yMode val="edge"/>
          <wMode val="factor"/>
          <hMode val="factor"/>
          <x val="0.06641453336972512"/>
          <y val="0.1237139774789792"/>
          <w val="0.8585298747401506"/>
          <h val="0.740284800162981"/>
        </manualLayout>
      </layout>
      <lineChart>
        <grouping val="standard"/>
        <varyColors val="0"/>
        <ser>
          <idx val="0"/>
          <order val="0"/>
          <tx>
            <strRef>
              <f>'VOLUMETRIA DE PROCESSOS'!$O$28</f>
              <strCache>
                <ptCount val="1"/>
                <pt idx="0">
                  <v>Total Ano</v>
                </pt>
              </strCache>
            </strRef>
          </tx>
          <spPr>
            <a:ln xmlns:a="http://schemas.openxmlformats.org/drawingml/2006/main" w="28440">
              <a:solidFill>
                <a:srgbClr val="426FA6"/>
              </a:solidFill>
              <a:prstDash val="solid"/>
              <a:round/>
            </a:ln>
          </spPr>
          <marker>
            <symbol val="none"/>
            <spPr>
              <a:ln xmlns:a="http://schemas.openxmlformats.org/drawingml/2006/main">
                <a:prstDash val="solid"/>
              </a:ln>
            </spPr>
          </marker>
          <dLbls>
            <dLbl>
              <idx val="0"/>
              <showLegendKey val="0"/>
              <showVal val="1"/>
              <showCatName val="0"/>
              <showSerName val="0"/>
              <showPercent val="0"/>
              <showBubbleSize val="1"/>
            </dLbl>
            <dLbl>
              <idx val="1"/>
              <showLegendKey val="0"/>
              <showVal val="1"/>
              <showCatName val="0"/>
              <showSerName val="0"/>
              <showPercent val="0"/>
              <showBubbleSize val="1"/>
            </dLbl>
            <dLbl>
              <idx val="2"/>
              <showLegendKey val="0"/>
              <showVal val="1"/>
              <showCatName val="0"/>
              <showSerName val="0"/>
              <showPercent val="0"/>
              <showBubbleSize val="1"/>
            </dLbl>
            <dLbl>
              <idx val="3"/>
              <showLegendKey val="0"/>
              <showVal val="1"/>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pt-BR"/>
              </a:p>
            </txPr>
            <showLegendKey val="0"/>
            <showVal val="1"/>
            <showCatName val="0"/>
            <showSerName val="0"/>
            <showPercent val="0"/>
            <showBubbleSize val="1"/>
            <showLeaderLines val="0"/>
          </dLbls>
          <cat>
            <numRef>
              <f>'VOLUMETRIA DE PROCESSOS'!$B$29:$B$33</f>
              <numCache>
                <formatCode>General</formatCode>
                <ptCount val="5"/>
                <pt idx="0">
                  <v>2022</v>
                </pt>
                <pt idx="1">
                  <v>2023</v>
                </pt>
                <pt idx="2">
                  <v>2024</v>
                </pt>
                <pt idx="3">
                  <v>2025</v>
                </pt>
                <pt idx="4">
                  <v>2026</v>
                </pt>
              </numCache>
            </numRef>
          </cat>
          <val>
            <numRef>
              <f>'VOLUMETRIA DE PROCESSOS'!$O$29:$O$33</f>
              <numCache>
                <formatCode>General</formatCode>
                <ptCount val="5"/>
                <pt idx="0">
                  <v>664</v>
                </pt>
                <pt idx="1">
                  <v>169</v>
                </pt>
                <pt idx="2">
                  <v>316</v>
                </pt>
                <pt idx="3">
                  <v>647</v>
                </pt>
                <pt idx="4">
                  <v>263</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5959899"/>
        <axId val="7555021"/>
      </lineChart>
      <catAx>
        <axId val="25959899"/>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lang="pt-BR" sz="1000" b="1" strike="noStrike" spc="-1">
                    <a:solidFill>
                      <a:srgbClr val="000000"/>
                    </a:solidFill>
                    <a:latin typeface="Calibri"/>
                  </a:rPr>
                  <a:t>Ano</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crossAx val="7555021"/>
        <crosses val="autoZero"/>
        <auto val="1"/>
        <lblAlgn val="ctr"/>
        <lblOffset val="100"/>
        <noMultiLvlLbl val="0"/>
      </catAx>
      <valAx>
        <axId val="7555021"/>
        <scaling>
          <orientation val="minMax"/>
        </scaling>
        <delete val="0"/>
        <axPos val="l"/>
        <majorGridlines>
          <spPr>
            <a:ln xmlns:a="http://schemas.openxmlformats.org/drawingml/2006/main" w="9360">
              <a:no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pt-BR" sz="1000" b="1" strike="noStrike" spc="-1">
                    <a:solidFill>
                      <a:srgbClr val="000000"/>
                    </a:solidFill>
                    <a:latin typeface="Calibri"/>
                  </a:rPr>
                  <a:t>Processos Ajuizados</a:t>
                </a:r>
              </a:p>
            </rich>
          </tx>
          <layout>
            <manualLayout>
              <xMode val="edge"/>
              <yMode val="edge"/>
              <wMode val="factor"/>
              <hMode val="factor"/>
              <x val="0.01482450403313713"/>
              <y val="0.3630787680112605"/>
            </manualLayout>
          </layout>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crossAx val="2595989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pt-BR" sz="1800" b="1" strike="noStrike" spc="-1">
                <a:solidFill>
                  <a:srgbClr val="000000"/>
                </a:solidFill>
                <a:latin typeface="Calibri"/>
              </a:rPr>
              <a:t>Processos por Área</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'VOLUMETRIA DE PROCESSOS'!$C$5</f>
              <strCache>
                <ptCount val="1"/>
                <pt idx="0">
                  <v>Qtd. Processos</v>
                </pt>
              </strCache>
            </strRef>
          </tx>
          <spPr>
            <a:solidFill xmlns:a="http://schemas.openxmlformats.org/drawingml/2006/main">
              <a:srgbClr val="4F81BD"/>
            </a:solidFill>
            <a:ln xmlns:a="http://schemas.openxmlformats.org/drawingml/2006/main" w="0">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pt-BR"/>
              </a:p>
            </txPr>
            <showLegendKey val="0"/>
            <showVal val="1"/>
            <showCatName val="0"/>
            <showSerName val="0"/>
            <showPercent val="0"/>
            <showBubbleSize val="1"/>
            <showLeaderLines val="0"/>
          </dLbls>
          <cat>
            <strRef>
              <f>'VOLUMETRIA DE PROCESSOS'!$B$6:$B$13</f>
              <strCache>
                <ptCount val="8"/>
                <pt idx="0">
                  <v>Cível</v>
                </pt>
                <pt idx="1">
                  <v>Trabalhista</v>
                </pt>
                <pt idx="2">
                  <v>Tributário</v>
                </pt>
                <pt idx="3">
                  <v>Previdenciário</v>
                </pt>
                <pt idx="4">
                  <v>Criminal</v>
                </pt>
                <pt idx="5">
                  <v>Família</v>
                </pt>
                <pt idx="6">
                  <v>Empresarial</v>
                </pt>
                <pt idx="7">
                  <v>Outras</v>
                </pt>
              </strCache>
            </strRef>
          </cat>
          <val>
            <numRef>
              <f>'VOLUMETRIA DE PROCESSOS'!$C$6:$C$13</f>
              <numCache>
                <formatCode>General</formatCode>
                <ptCount val="8"/>
                <pt idx="0">
                  <v>0</v>
                </pt>
                <pt idx="1">
                  <v>0</v>
                </pt>
                <pt idx="2">
                  <v>0</v>
                </pt>
                <pt idx="3">
                  <v>0</v>
                </pt>
                <pt idx="4">
                  <v>0</v>
                </pt>
                <pt idx="5">
                  <v>0</v>
                </pt>
                <pt idx="6">
                  <v>0</v>
                </pt>
                <pt idx="7">
                  <v>2059</v>
                </pt>
              </numCache>
            </numRef>
          </val>
        </ser>
        <dLbls>
          <showLegendKey val="0"/>
          <showVal val="0"/>
          <showCatName val="0"/>
          <showSerName val="0"/>
          <showPercent val="0"/>
          <showBubbleSize val="0"/>
        </dLbls>
        <gapWidth val="150"/>
        <axId val="28346919"/>
        <axId val="99113378"/>
      </barChart>
      <catAx>
        <axId val="28346919"/>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crossAx val="99113378"/>
        <crosses val="autoZero"/>
        <auto val="1"/>
        <lblAlgn val="ctr"/>
        <lblOffset val="100"/>
        <noMultiLvlLbl val="0"/>
      </catAx>
      <valAx>
        <axId val="99113378"/>
        <scaling>
          <orientation val="minMax"/>
        </scaling>
        <delete val="0"/>
        <axPos val="l"/>
        <majorGridlines>
          <spPr>
            <a:ln xmlns:a="http://schemas.openxmlformats.org/drawingml/2006/main" w="9360">
              <a:no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pt-BR" sz="1000" b="1" strike="noStrike" spc="-1">
                    <a:solidFill>
                      <a:srgbClr val="000000"/>
                    </a:solidFill>
                    <a:latin typeface="Calibri"/>
                  </a:rPr>
                  <a:t>Quantidade</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crossAx val="2834691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pt-BR" sz="1800" b="1" strike="noStrike" spc="-1">
                <a:solidFill>
                  <a:srgbClr val="000000"/>
                </a:solidFill>
                <a:latin typeface="Calibri"/>
              </a:rPr>
              <a:t>Prazos por Advogado</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tx>
            <strRef>
              <f>'PRODUTIVIDADE E PRAZOS'!$C$28</f>
              <strCache>
                <ptCount val="1"/>
                <pt idx="0">
                  <v>Total Prazos</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pt-BR"/>
              </a:p>
            </txPr>
            <showLegendKey val="0"/>
            <showVal val="1"/>
            <showCatName val="0"/>
            <showSerName val="0"/>
            <showPercent val="0"/>
            <showBubbleSize val="1"/>
            <showLeaderLines val="0"/>
          </dLbls>
          <cat>
            <strRef>
              <f>'PRODUTIVIDADE E PRAZOS'!$B$29:$B$36</f>
              <strCache>
                <ptCount val="8"/>
                <pt idx="0">
                  <v>Ronaldo Koyama</v>
                </pt>
                <pt idx="1">
                  <v xml:space="preserve">Lucas </v>
                </pt>
                <pt idx="2">
                  <v>Luci</v>
                </pt>
                <pt idx="3">
                  <v>Julia</v>
                </pt>
                <pt idx="4">
                  <v>Pedro Victor</v>
                </pt>
                <pt idx="5">
                  <v xml:space="preserve">Alexia </v>
                </pt>
                <pt idx="6">
                  <v>Jessica</v>
                </pt>
                <pt idx="7">
                  <v>Marelize Controladoria</v>
                </pt>
              </strCache>
            </strRef>
          </cat>
          <val>
            <numRef>
              <f>'PRODUTIVIDADE E PRAZOS'!$C$29:$C$36</f>
              <numCache>
                <formatCode>General</formatCode>
                <ptCount val="8"/>
                <pt idx="0">
                  <v>5</v>
                </pt>
                <pt idx="1">
                  <v>146</v>
                </pt>
                <pt idx="2">
                  <v>170</v>
                </pt>
                <pt idx="3">
                  <v>173</v>
                </pt>
                <pt idx="4">
                  <v>188</v>
                </pt>
                <pt idx="5">
                  <v>196</v>
                </pt>
                <pt idx="6">
                  <v>199</v>
                </pt>
                <pt idx="7">
                  <v>232</v>
                </pt>
              </numCache>
            </numRef>
          </val>
        </ser>
        <ser>
          <idx val="1"/>
          <order val="1"/>
          <tx>
            <strRef>
              <f>'PRODUTIVIDADE E PRAZOS'!$D$28</f>
              <strCache>
                <ptCount val="1"/>
                <pt idx="0">
                  <v>Cumpridos</v>
                </pt>
              </strCache>
            </strRef>
          </tx>
          <spPr>
            <a:solidFill xmlns:a="http://schemas.openxmlformats.org/drawingml/2006/main">
              <a:srgbClr val="C0504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pt-BR"/>
              </a:p>
            </txPr>
            <showLegendKey val="0"/>
            <showVal val="1"/>
            <showCatName val="0"/>
            <showSerName val="0"/>
            <showPercent val="0"/>
            <showBubbleSize val="1"/>
            <showLeaderLines val="0"/>
          </dLbls>
          <cat>
            <strRef>
              <f>'PRODUTIVIDADE E PRAZOS'!$B$29:$B$36</f>
              <strCache>
                <ptCount val="8"/>
                <pt idx="0">
                  <v>Ronaldo Koyama</v>
                </pt>
                <pt idx="1">
                  <v xml:space="preserve">Lucas </v>
                </pt>
                <pt idx="2">
                  <v>Luci</v>
                </pt>
                <pt idx="3">
                  <v>Julia</v>
                </pt>
                <pt idx="4">
                  <v>Pedro Victor</v>
                </pt>
                <pt idx="5">
                  <v xml:space="preserve">Alexia </v>
                </pt>
                <pt idx="6">
                  <v>Jessica</v>
                </pt>
                <pt idx="7">
                  <v>Marelize Controladoria</v>
                </pt>
              </strCache>
            </strRef>
          </cat>
          <val>
            <numRef>
              <f>'PRODUTIVIDADE E PRAZOS'!$D$29:$D$36</f>
              <numCache>
                <formatCode>General</formatCode>
                <ptCount val="8"/>
                <pt idx="0">
                  <v>5</v>
                </pt>
                <pt idx="1">
                  <v>146</v>
                </pt>
                <pt idx="2">
                  <v>170</v>
                </pt>
                <pt idx="3">
                  <v>173</v>
                </pt>
                <pt idx="4">
                  <v>188</v>
                </pt>
                <pt idx="5">
                  <v>196</v>
                </pt>
                <pt idx="6">
                  <v>199</v>
                </pt>
                <pt idx="7">
                  <v>232</v>
                </pt>
              </numCache>
            </numRef>
          </val>
        </ser>
        <ser>
          <idx val="2"/>
          <order val="2"/>
          <tx>
            <strRef>
              <f>'PRODUTIVIDADE E PRAZOS'!$E$28</f>
              <strCache>
                <ptCount val="1"/>
                <pt idx="0">
                  <v>Não Cumpridos</v>
                </pt>
              </strCache>
            </strRef>
          </tx>
          <spPr>
            <a:solidFill xmlns:a="http://schemas.openxmlformats.org/drawingml/2006/main">
              <a:srgbClr val="9BBB59"/>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pt-BR"/>
              </a:p>
            </txPr>
            <showLegendKey val="0"/>
            <showVal val="0"/>
            <showCatName val="0"/>
            <showSerName val="0"/>
            <showPercent val="0"/>
            <showBubbleSize val="1"/>
            <showLeaderLines val="0"/>
          </dLbls>
          <cat>
            <strRef>
              <f>'PRODUTIVIDADE E PRAZOS'!$B$29:$B$36</f>
              <strCache>
                <ptCount val="8"/>
                <pt idx="0">
                  <v>Ronaldo Koyama</v>
                </pt>
                <pt idx="1">
                  <v xml:space="preserve">Lucas </v>
                </pt>
                <pt idx="2">
                  <v>Luci</v>
                </pt>
                <pt idx="3">
                  <v>Julia</v>
                </pt>
                <pt idx="4">
                  <v>Pedro Victor</v>
                </pt>
                <pt idx="5">
                  <v xml:space="preserve">Alexia </v>
                </pt>
                <pt idx="6">
                  <v>Jessica</v>
                </pt>
                <pt idx="7">
                  <v>Marelize Controladoria</v>
                </pt>
              </strCache>
            </strRef>
          </cat>
          <val>
            <numRef>
              <f>'PRODUTIVIDADE E PRAZOS'!$E$29:$E$36</f>
              <numCache>
                <formatCode>General</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50"/>
        <axId val="26197057"/>
        <axId val="66932054"/>
      </barChart>
      <catAx>
        <axId val="26197057"/>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pt-BR" sz="1000" b="1" strike="noStrike" spc="-1">
                    <a:solidFill>
                      <a:srgbClr val="000000"/>
                    </a:solidFill>
                    <a:latin typeface="Calibri"/>
                  </a:rPr>
                  <a:t>Advogado</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crossAx val="66932054"/>
        <crosses val="autoZero"/>
        <auto val="1"/>
        <lblAlgn val="ctr"/>
        <lblOffset val="100"/>
        <noMultiLvlLbl val="0"/>
      </catAx>
      <valAx>
        <axId val="66932054"/>
        <scaling>
          <orientation val="minMax"/>
        </scaling>
        <delete val="0"/>
        <axPos val="b"/>
        <majorGridlines>
          <spPr>
            <a:ln xmlns:a="http://schemas.openxmlformats.org/drawingml/2006/main" w="9360">
              <a:noFill/>
              <a:prstDash val="solid"/>
              <a:round/>
            </a:ln>
          </spPr>
        </majorGridlines>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lang="pt-BR" sz="1000" b="1" strike="noStrike" spc="-1">
                    <a:solidFill>
                      <a:srgbClr val="000000"/>
                    </a:solidFill>
                    <a:latin typeface="Calibri"/>
                  </a:rPr>
                  <a:t>Quantidade</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crossAx val="2619705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pt-B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twoCellAnchor editAs="oneCell">
    <from>
      <col>0</col>
      <colOff>200024</colOff>
      <row>36</row>
      <rowOff>0</rowOff>
    </from>
    <to>
      <col>14</col>
      <colOff>790574</colOff>
      <row>58</row>
      <rowOff>128520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247649</colOff>
      <row>13</row>
      <rowOff>66675</rowOff>
    </from>
    <to>
      <col>9</col>
      <colOff>1619250</colOff>
      <row>24</row>
      <rowOff>47625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7</col>
      <colOff>0</colOff>
      <row>3</row>
      <rowOff>123824</rowOff>
    </from>
    <to>
      <col>12</col>
      <colOff>50400</colOff>
      <row>24</row>
      <rowOff>238125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I34"/>
  <sheetViews>
    <sheetView showGridLines="0" zoomScaleNormal="100" workbookViewId="0">
      <selection activeCell="A32" sqref="A32:XFD32"/>
    </sheetView>
  </sheetViews>
  <sheetFormatPr baseColWidth="8" defaultColWidth="8.7109375" defaultRowHeight="15"/>
  <cols>
    <col width="3" customWidth="1" min="1" max="1"/>
    <col width="60" customWidth="1" min="2" max="2"/>
    <col width="40" customWidth="1" min="3" max="3"/>
  </cols>
  <sheetData>
    <row r="1" ht="48.75" customHeight="1">
      <c r="A1" s="15" t="n"/>
      <c r="B1" s="14" t="inlineStr">
        <is>
          <t>K Controllers  |  Relatório de Volumetria e Produtividade</t>
        </is>
      </c>
      <c r="I1" s="15" t="n"/>
    </row>
    <row r="2" ht="18" customHeight="1">
      <c r="A2" s="13" t="inlineStr">
        <is>
          <t>Controladoria Jurídica na prática.</t>
        </is>
      </c>
    </row>
    <row r="3" ht="7.5" customHeight="1">
      <c r="A3" s="16" t="n"/>
      <c r="B3" s="16" t="n"/>
      <c r="C3" s="16" t="n"/>
      <c r="D3" s="16" t="n"/>
      <c r="E3" s="16" t="n"/>
      <c r="F3" s="16" t="n"/>
      <c r="G3" s="16" t="n"/>
      <c r="H3" s="16" t="n"/>
      <c r="I3" s="16" t="n"/>
    </row>
    <row r="4"/>
    <row r="5" ht="21.75" customHeight="1">
      <c r="B5" s="12" t="inlineStr">
        <is>
          <t>COMO USAR ESTE MODELO</t>
        </is>
      </c>
    </row>
    <row r="6" ht="21.75" customHeight="1">
      <c r="B6" s="11" t="n"/>
    </row>
    <row r="7" ht="21.75" customHeight="1">
      <c r="B7" s="10" t="inlineStr">
        <is>
          <t>① ABA  ➜  BASE DE DADOS</t>
        </is>
      </c>
    </row>
    <row r="8" ht="21.75" customHeight="1">
      <c r="B8" s="9" t="inlineStr">
        <is>
          <t>Cole aqui os dados exportados do seu sistema de gestão.</t>
        </is>
      </c>
    </row>
    <row r="9" ht="21.75" customHeight="1">
      <c r="B9" s="9" t="inlineStr">
        <is>
          <t>Cada linha = 1 processo ou 1 prazo.</t>
        </is>
      </c>
    </row>
    <row r="10" ht="21.75" customHeight="1">
      <c r="B10" s="79" t="inlineStr">
        <is>
          <t>Não altere os cabeçalhos - as fórmulas dependem deles.</t>
        </is>
      </c>
    </row>
    <row r="11" ht="21.75" customHeight="1">
      <c r="B11" s="11" t="n"/>
    </row>
    <row r="12" ht="21.75" customHeight="1">
      <c r="B12" s="10" t="inlineStr">
        <is>
          <t>② ABA  ➜  VOLUMETRIA DE PROCESSOS</t>
        </is>
      </c>
    </row>
    <row r="13" ht="21.75" customHeight="1">
      <c r="B13" s="9" t="inlineStr">
        <is>
          <t>Atualiza automaticamente a partir da BASE DE DADOS.</t>
        </is>
      </c>
    </row>
    <row r="14" ht="21.75" customHeight="1">
      <c r="B14" s="9" t="inlineStr">
        <is>
          <t>Mostra: total por área, por fase, por advogado e curva de ajuizamento.</t>
        </is>
      </c>
    </row>
    <row r="15" ht="21.75" customHeight="1">
      <c r="B15" s="11" t="n"/>
    </row>
    <row r="16" ht="21.75" customHeight="1">
      <c r="B16" s="10" t="inlineStr">
        <is>
          <t>③ ABA  ➜  PRODUTIVIDADE E PRAZOS</t>
        </is>
      </c>
    </row>
    <row r="17" ht="21.75" customHeight="1">
      <c r="B17" s="9" t="inlineStr">
        <is>
          <t>Atualiza automaticamente. Não edite as células com fórmulas.</t>
        </is>
      </c>
    </row>
    <row r="18" ht="21.75" customHeight="1">
      <c r="B18" s="9" t="inlineStr">
        <is>
          <t>Mostra: prazos por tipo, taxa de cumprimento, performance por advogado.</t>
        </is>
      </c>
    </row>
    <row r="19" ht="21.75" customHeight="1">
      <c r="B19" s="11" t="n"/>
    </row>
    <row r="20" ht="21.75" customHeight="1">
      <c r="B20" s="12" t="inlineStr">
        <is>
          <t>DICAS IMPORTANTES</t>
        </is>
      </c>
    </row>
    <row r="21" ht="21.75" customHeight="1">
      <c r="B21" s="11" t="n"/>
    </row>
    <row r="22" ht="21.75" customHeight="1">
      <c r="B22" s="7" t="inlineStr">
        <is>
          <t>✔  Atualize mensalmente colando novos dados na BASE DE DADOS.</t>
        </is>
      </c>
    </row>
    <row r="23" ht="21.75" customHeight="1">
      <c r="B23" s="7" t="inlineStr">
        <is>
          <t>✔  Não insira linhas em branco no meio da base.</t>
        </is>
      </c>
    </row>
    <row r="24" ht="21.75" customHeight="1">
      <c r="B24" s="7" t="inlineStr">
        <is>
          <t>✔  Use sempre o formato de data: DD/MM/AAAA.</t>
        </is>
      </c>
    </row>
    <row r="25" ht="21.75" customHeight="1">
      <c r="B25" s="7" t="inlineStr">
        <is>
          <t>✔  Para prazos, use exatamente: Cumprido / Pendente / Não cumprido.</t>
        </is>
      </c>
    </row>
    <row r="26" ht="21.75" customHeight="1">
      <c r="B26" s="7" t="inlineStr">
        <is>
          <t>✔  Os gráficos atualizam sozinhos ao colar novos dados.</t>
        </is>
      </c>
    </row>
    <row r="27" ht="21.75" customHeight="1">
      <c r="B27" s="11" t="n"/>
    </row>
    <row r="28" ht="21.75" customHeight="1">
      <c r="B28" s="12" t="inlineStr">
        <is>
          <t>CAMPOS OBRIGATÓRIOS NA BASE</t>
        </is>
      </c>
    </row>
    <row r="29" ht="21.75" customHeight="1">
      <c r="B29" s="11" t="n"/>
    </row>
    <row r="30" ht="21.75" customHeight="1">
      <c r="B30" s="9" t="inlineStr">
        <is>
          <t>Processos: Nº Processo | Área | Fase | Responsável | Data Ajuizamento</t>
        </is>
      </c>
    </row>
    <row r="31" ht="21.75" customHeight="1">
      <c r="B31" s="9" t="inlineStr">
        <is>
          <t>Prazos:    Nº Processo | Tipo Prazo | Data Limite | Responsável | Status</t>
        </is>
      </c>
    </row>
    <row r="32"/>
    <row r="33"/>
    <row r="34" ht="24.75" customHeight="1">
      <c r="B34" s="6" t="inlineStr">
        <is>
          <t>kcontrollers.com.br  |  Uso exclusivo K Controllers</t>
        </is>
      </c>
    </row>
  </sheetData>
  <mergeCells count="30">
    <mergeCell ref="B9:H9"/>
    <mergeCell ref="B6:H6"/>
    <mergeCell ref="B30:H30"/>
    <mergeCell ref="B24:H24"/>
    <mergeCell ref="B15:H15"/>
    <mergeCell ref="B5:H5"/>
    <mergeCell ref="B20:H20"/>
    <mergeCell ref="A2:I2"/>
    <mergeCell ref="B26:H26"/>
    <mergeCell ref="B16:H16"/>
    <mergeCell ref="B7:H7"/>
    <mergeCell ref="B25:H25"/>
    <mergeCell ref="B31:H31"/>
    <mergeCell ref="B22:H22"/>
    <mergeCell ref="B27:H27"/>
    <mergeCell ref="B18:H18"/>
    <mergeCell ref="B21:H21"/>
    <mergeCell ref="B12:H12"/>
    <mergeCell ref="B11:H11"/>
    <mergeCell ref="B23:H23"/>
    <mergeCell ref="B14:H14"/>
    <mergeCell ref="B8:H8"/>
    <mergeCell ref="B17:H17"/>
    <mergeCell ref="B13:H13"/>
    <mergeCell ref="B1:H1"/>
    <mergeCell ref="B29:H29"/>
    <mergeCell ref="B10:H10"/>
    <mergeCell ref="B19:H19"/>
    <mergeCell ref="B34:H34"/>
    <mergeCell ref="B28:H2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2062"/>
  <sheetViews>
    <sheetView showGridLines="0" topLeftCell="A3" zoomScaleNormal="100" workbookViewId="0">
      <selection activeCell="I3" sqref="I3:N3"/>
    </sheetView>
  </sheetViews>
  <sheetFormatPr baseColWidth="8" defaultColWidth="8.7109375" defaultRowHeight="15"/>
  <cols>
    <col width="24.42578125" bestFit="1" customWidth="1" style="67" min="1" max="1"/>
    <col width="20" customWidth="1" style="67" min="2" max="2"/>
    <col width="22" customWidth="1" style="67" min="3" max="3"/>
    <col width="25" customWidth="1" style="67" min="4" max="4"/>
    <col width="18" customWidth="1" style="62" min="5" max="5"/>
    <col width="30.42578125" customWidth="1" style="67" min="6" max="6"/>
    <col width="25" customWidth="1" style="67" min="7" max="7"/>
    <col width="4" customWidth="1" style="66" min="8" max="8"/>
    <col width="24.42578125" bestFit="1" customWidth="1" style="66" min="9" max="9"/>
    <col width="22" customWidth="1" style="66" min="10" max="10"/>
    <col width="15" customWidth="1" style="68" min="11" max="11"/>
    <col width="25" customWidth="1" style="66" min="12" max="12"/>
    <col width="18" customWidth="1" style="66" min="13" max="13"/>
    <col width="18" customWidth="1" style="68" min="14" max="14"/>
    <col width="255.7109375" bestFit="1" customWidth="1" style="66" min="15" max="15"/>
    <col width="8.7109375" customWidth="1" style="66" min="16" max="16384"/>
  </cols>
  <sheetData>
    <row r="1" ht="39.75" customFormat="1" customHeight="1" s="65">
      <c r="A1" s="5" t="inlineStr">
        <is>
          <t>SEÇÃO 1 — PROCESSOS</t>
        </is>
      </c>
      <c r="I1" s="5" t="inlineStr">
        <is>
          <t>SEÇÃO 2 — PRAZOS</t>
        </is>
      </c>
    </row>
    <row r="2" ht="19.5" customFormat="1" customHeight="1" s="65">
      <c r="A2" s="4" t="inlineStr">
        <is>
          <t>Preencha uma linha por processo ativo. Não deixe linhas em branco no meio.</t>
        </is>
      </c>
      <c r="I2" s="4" t="inlineStr">
        <is>
          <t>Preencha um prazo por linha. Status: Cumprido | Pendente | Não cumprido</t>
        </is>
      </c>
    </row>
    <row r="3" ht="30" customFormat="1" customHeight="1" s="65">
      <c r="A3" s="39" t="inlineStr">
        <is>
          <t>Nº Processo</t>
        </is>
      </c>
      <c r="B3" s="39" t="inlineStr">
        <is>
          <t>Área / Matéria</t>
        </is>
      </c>
      <c r="C3" s="39" t="inlineStr">
        <is>
          <t>Fase Processual</t>
        </is>
      </c>
      <c r="D3" s="39" t="inlineStr">
        <is>
          <t>Responsável (Advogado)</t>
        </is>
      </c>
      <c r="E3" s="42" t="inlineStr">
        <is>
          <t>Data Ajuizamento</t>
        </is>
      </c>
      <c r="F3" s="39" t="inlineStr">
        <is>
          <t>Vara / Tribunal</t>
        </is>
      </c>
      <c r="G3" s="39" t="inlineStr">
        <is>
          <t>Observação</t>
        </is>
      </c>
      <c r="I3" s="63" t="inlineStr">
        <is>
          <t>Nº Processo</t>
        </is>
      </c>
      <c r="J3" s="63" t="inlineStr">
        <is>
          <t>Tipo de Prazo</t>
        </is>
      </c>
      <c r="K3" s="64" t="inlineStr">
        <is>
          <t>Data Limite</t>
        </is>
      </c>
      <c r="L3" s="63" t="inlineStr">
        <is>
          <t>Responsável (Advogado)</t>
        </is>
      </c>
      <c r="M3" s="63" t="inlineStr">
        <is>
          <t>Status do Prazo</t>
        </is>
      </c>
      <c r="N3" s="64" t="inlineStr">
        <is>
          <t>Data Cumprimento</t>
        </is>
      </c>
      <c r="O3" s="63" t="inlineStr">
        <is>
          <t>Observação</t>
        </is>
      </c>
    </row>
    <row r="4" ht="19.5" customHeight="1">
      <c r="A4" s="40" t="inlineStr">
        <is>
          <t>5005212-03.2026.8.24.0020</t>
        </is>
      </c>
      <c r="B4" s="40" t="inlineStr">
        <is>
          <t>Outras</t>
        </is>
      </c>
      <c r="C4" s="40" t="n"/>
      <c r="D4" s="40" t="inlineStr">
        <is>
          <t>Renata Francisco Becker</t>
        </is>
      </c>
      <c r="E4" s="43" t="n">
        <v>46002</v>
      </c>
      <c r="F4" s="40" t="inlineStr"/>
      <c r="G4" s="40" t="n"/>
      <c r="I4" s="40" t="inlineStr">
        <is>
          <t>01560009520055120033</t>
        </is>
      </c>
      <c r="J4" s="40" t="inlineStr">
        <is>
          <t>Tarefa</t>
        </is>
      </c>
      <c r="K4" s="43" t="n">
        <v>46027</v>
      </c>
      <c r="L4" s="40" t="inlineStr">
        <is>
          <t>Pedro Victor</t>
        </is>
      </c>
      <c r="M4" s="40" t="inlineStr">
        <is>
          <t>Cumprido</t>
        </is>
      </c>
      <c r="N4" s="43" t="n">
        <v>46027</v>
      </c>
      <c r="O4" s="40" t="inlineStr">
        <is>
          <t xml:space="preserve">Pedido de redução de desconto </t>
        </is>
      </c>
    </row>
    <row r="5" ht="19.5" customHeight="1">
      <c r="A5" s="40" t="inlineStr">
        <is>
          <t>5008937-34.2025.8.24.0020</t>
        </is>
      </c>
      <c r="B5" s="40" t="inlineStr">
        <is>
          <t>Outras</t>
        </is>
      </c>
      <c r="C5" s="40" t="n"/>
      <c r="D5" s="40" t="inlineStr">
        <is>
          <t>Renata Francisco Becker</t>
        </is>
      </c>
      <c r="E5" s="43" t="n">
        <v>45769</v>
      </c>
      <c r="F5" s="40" t="inlineStr">
        <is>
          <t>2° vara cível</t>
        </is>
      </c>
      <c r="G5" s="40" t="n"/>
      <c r="I5" s="40" t="inlineStr"/>
      <c r="J5" s="40" t="inlineStr">
        <is>
          <t>Tarefa</t>
        </is>
      </c>
      <c r="K5" s="43" t="n">
        <v>46027</v>
      </c>
      <c r="L5" s="40" t="inlineStr">
        <is>
          <t>Julia</t>
        </is>
      </c>
      <c r="M5" s="40" t="inlineStr">
        <is>
          <t>Cumprido</t>
        </is>
      </c>
      <c r="N5" s="43" t="n">
        <v>46027</v>
      </c>
      <c r="O5" s="40" t="inlineStr">
        <is>
          <t>Registro de Marca Reficel e Valen</t>
        </is>
      </c>
    </row>
    <row r="6" ht="19.5" customHeight="1">
      <c r="A6" s="40" t="n"/>
      <c r="B6" s="40" t="inlineStr">
        <is>
          <t>Outras</t>
        </is>
      </c>
      <c r="C6" s="40" t="n"/>
      <c r="D6" s="40" t="inlineStr">
        <is>
          <t>Marelize Controladoria</t>
        </is>
      </c>
      <c r="E6" s="43" t="n">
        <v>46073</v>
      </c>
      <c r="F6" s="40" t="n"/>
      <c r="G6" s="40" t="n"/>
      <c r="I6" s="40" t="inlineStr"/>
      <c r="J6" s="40" t="inlineStr">
        <is>
          <t>Evento</t>
        </is>
      </c>
      <c r="K6" s="43" t="n">
        <v>46027</v>
      </c>
      <c r="L6" s="40" t="inlineStr">
        <is>
          <t>Marelize Controladoria</t>
        </is>
      </c>
      <c r="M6" s="40" t="inlineStr">
        <is>
          <t>Cumprido</t>
        </is>
      </c>
      <c r="N6" s="43" t="n">
        <v>46027</v>
      </c>
      <c r="O6" s="40" t="inlineStr">
        <is>
          <t>Reunião controladoria (Nathalia)</t>
        </is>
      </c>
    </row>
    <row r="7" ht="19.5" customHeight="1">
      <c r="A7" s="40" t="inlineStr">
        <is>
          <t>5001371-18.2024.8.24.0166</t>
        </is>
      </c>
      <c r="B7" s="40" t="inlineStr">
        <is>
          <t>Outras</t>
        </is>
      </c>
      <c r="C7" s="40" t="n"/>
      <c r="D7" s="40" t="inlineStr">
        <is>
          <t>Renata Francisco Becker</t>
        </is>
      </c>
      <c r="E7" s="43" t="n">
        <v>45448</v>
      </c>
      <c r="F7" s="40" t="inlineStr"/>
      <c r="G7" s="40" t="n"/>
      <c r="I7" s="40" t="inlineStr"/>
      <c r="J7" s="40" t="inlineStr">
        <is>
          <t>Tarefa</t>
        </is>
      </c>
      <c r="K7" s="43" t="n">
        <v>46028</v>
      </c>
      <c r="L7" s="40" t="inlineStr">
        <is>
          <t>Marelize Controladoria</t>
        </is>
      </c>
      <c r="M7" s="40" t="inlineStr">
        <is>
          <t>Cumprido</t>
        </is>
      </c>
      <c r="N7" s="43" t="n">
        <v>46028</v>
      </c>
      <c r="O7" s="40" t="inlineStr">
        <is>
          <t>Lize, consegue aplicar o cronograma do Lucas, na agenda dele, conforme conversamos. Se conseguir fazer antes do retorno dele, agradeço,</t>
        </is>
      </c>
    </row>
    <row r="8" ht="19.5" customHeight="1">
      <c r="A8" s="40" t="inlineStr">
        <is>
          <t>0301909-52.2015.8.24.0028</t>
        </is>
      </c>
      <c r="B8" s="40" t="inlineStr">
        <is>
          <t>Outras</t>
        </is>
      </c>
      <c r="C8" s="40" t="n"/>
      <c r="D8" s="40" t="inlineStr">
        <is>
          <t>Marelize Controladoria</t>
        </is>
      </c>
      <c r="E8" s="43" t="n">
        <v>46105</v>
      </c>
      <c r="F8" s="40" t="inlineStr">
        <is>
          <t>Juízo da 1ª Vara Cível da Comarca de Içara</t>
        </is>
      </c>
      <c r="G8" s="40" t="n"/>
      <c r="I8" s="40" t="inlineStr">
        <is>
          <t>40013348420268260100</t>
        </is>
      </c>
      <c r="J8" s="40" t="inlineStr">
        <is>
          <t>Tarefa</t>
        </is>
      </c>
      <c r="K8" s="43" t="n">
        <v>46029</v>
      </c>
      <c r="L8" s="40" t="inlineStr">
        <is>
          <t>Renata Francisco Becker</t>
        </is>
      </c>
      <c r="M8" s="40" t="inlineStr">
        <is>
          <t>Cumprido</t>
        </is>
      </c>
      <c r="N8" s="43" t="n">
        <v>46029</v>
      </c>
      <c r="O8" s="40" t="inlineStr">
        <is>
          <t>CONFERÊNCIA IMPORTANTE MI - Cobrança Monto - MMC</t>
        </is>
      </c>
    </row>
    <row r="9" ht="18" customHeight="1">
      <c r="A9" s="40" t="inlineStr">
        <is>
          <t>5000212-03.2018.8.24.0020</t>
        </is>
      </c>
      <c r="B9" s="40" t="inlineStr">
        <is>
          <t>Outras</t>
        </is>
      </c>
      <c r="C9" s="41" t="n"/>
      <c r="D9" s="41" t="inlineStr">
        <is>
          <t>Renata Francisco Becker</t>
        </is>
      </c>
      <c r="E9" s="44" t="n">
        <v>44761</v>
      </c>
      <c r="F9" s="41" t="inlineStr">
        <is>
          <t>Juízo da 2ª Vara Cível da Comarca de Criciúma</t>
        </is>
      </c>
      <c r="G9" s="41" t="n"/>
      <c r="I9" s="41" t="inlineStr"/>
      <c r="J9" s="41" t="inlineStr">
        <is>
          <t>Tarefa</t>
        </is>
      </c>
      <c r="K9" s="44" t="n">
        <v>46029</v>
      </c>
      <c r="L9" s="41" t="inlineStr">
        <is>
          <t>Marelize Controladoria</t>
        </is>
      </c>
      <c r="M9" s="40" t="inlineStr">
        <is>
          <t>Cumprido</t>
        </is>
      </c>
      <c r="N9" s="44" t="n">
        <v>46029</v>
      </c>
      <c r="O9" s="41" t="inlineStr">
        <is>
          <t>Por favor, consegue verificar como funciona essa questão no Astrea de atividades pré definidas. Para podermos implementar… Segundo o Astrea, ótima o tempo da distribuição das publicacoes</t>
        </is>
      </c>
    </row>
    <row r="10" ht="18" customHeight="1">
      <c r="A10" s="40" t="n"/>
      <c r="B10" s="40" t="inlineStr">
        <is>
          <t>Outras</t>
        </is>
      </c>
      <c r="C10" s="41" t="n"/>
      <c r="D10" s="41" t="inlineStr">
        <is>
          <t>Marelize Controladoria</t>
        </is>
      </c>
      <c r="E10" s="44" t="n">
        <v>46100</v>
      </c>
      <c r="F10" s="41" t="n"/>
      <c r="G10" s="41" t="n"/>
      <c r="I10" s="41" t="inlineStr"/>
      <c r="J10" s="41" t="inlineStr">
        <is>
          <t>Tarefa</t>
        </is>
      </c>
      <c r="K10" s="44" t="n">
        <v>46029</v>
      </c>
      <c r="L10" s="41" t="inlineStr">
        <is>
          <t>Marelize Controladoria</t>
        </is>
      </c>
      <c r="M10" s="40" t="inlineStr">
        <is>
          <t>Cumprido</t>
        </is>
      </c>
      <c r="N10" s="44" t="n">
        <v>46029</v>
      </c>
      <c r="O10" s="41" t="inlineStr">
        <is>
          <t>DISTRIBUIR TAREFAS (Pedro grupo controladoria)</t>
        </is>
      </c>
    </row>
    <row r="11" ht="18" customHeight="1">
      <c r="A11" s="40" t="inlineStr">
        <is>
          <t>5133128-39.2026.8.09.0084</t>
        </is>
      </c>
      <c r="B11" s="40" t="inlineStr">
        <is>
          <t>Outras</t>
        </is>
      </c>
      <c r="C11" s="41" t="n"/>
      <c r="D11" s="41" t="inlineStr">
        <is>
          <t>Marelize Controladoria</t>
        </is>
      </c>
      <c r="E11" s="44" t="n">
        <v>46071</v>
      </c>
      <c r="F11" s="41" t="n"/>
      <c r="G11" s="41" t="n"/>
      <c r="I11" s="41" t="inlineStr">
        <is>
          <t>5020941-06.2025.8.24.0020</t>
        </is>
      </c>
      <c r="J11" s="41" t="inlineStr">
        <is>
          <t>Tarefa</t>
        </is>
      </c>
      <c r="K11" s="44" t="n">
        <v>46029</v>
      </c>
      <c r="L11" s="41" t="inlineStr">
        <is>
          <t>Marelize Controladoria</t>
        </is>
      </c>
      <c r="M11" s="40" t="inlineStr">
        <is>
          <t>Cumprido</t>
        </is>
      </c>
      <c r="N11" s="44" t="n">
        <v>46029</v>
      </c>
      <c r="O11" s="41" t="inlineStr">
        <is>
          <t>Redesignado audiencia, avisar cliente, anotar nas agendas</t>
        </is>
      </c>
    </row>
    <row r="12" ht="18" customHeight="1">
      <c r="A12" s="40" t="inlineStr">
        <is>
          <t>50055518420238240078</t>
        </is>
      </c>
      <c r="B12" s="40" t="inlineStr">
        <is>
          <t>Outras</t>
        </is>
      </c>
      <c r="C12" s="41" t="n"/>
      <c r="D12" s="41" t="inlineStr">
        <is>
          <t>Renata Francisco Becker</t>
        </is>
      </c>
      <c r="E12" s="44" t="n">
        <v>45338</v>
      </c>
      <c r="F12" s="41" t="inlineStr"/>
      <c r="G12" s="41" t="n"/>
      <c r="I12" s="41" t="inlineStr"/>
      <c r="J12" s="41" t="inlineStr">
        <is>
          <t>Evento</t>
        </is>
      </c>
      <c r="K12" s="44" t="n">
        <v>46029</v>
      </c>
      <c r="L12" s="41" t="inlineStr">
        <is>
          <t>Renata Francisco Becker</t>
        </is>
      </c>
      <c r="M12" s="40" t="inlineStr">
        <is>
          <t>Cumprido</t>
        </is>
      </c>
      <c r="N12" s="44" t="n">
        <v>46029</v>
      </c>
      <c r="O12" s="41" t="inlineStr">
        <is>
          <t>Reunião Nika - pavilhao</t>
        </is>
      </c>
    </row>
    <row r="13" ht="18" customHeight="1">
      <c r="A13" s="40" t="n"/>
      <c r="B13" s="40" t="inlineStr">
        <is>
          <t>Outras</t>
        </is>
      </c>
      <c r="C13" s="41" t="n"/>
      <c r="D13" s="41" t="inlineStr">
        <is>
          <t>Pedro Victor</t>
        </is>
      </c>
      <c r="E13" s="44" t="n">
        <v>46059</v>
      </c>
      <c r="F13" s="41" t="n"/>
      <c r="G13" s="41" t="n"/>
      <c r="I13" s="41" t="inlineStr"/>
      <c r="J13" s="41" t="inlineStr">
        <is>
          <t>Evento</t>
        </is>
      </c>
      <c r="K13" s="44" t="n">
        <v>46029</v>
      </c>
      <c r="L13" s="41" t="inlineStr">
        <is>
          <t>Renata Francisco Becker</t>
        </is>
      </c>
      <c r="M13" s="40" t="inlineStr">
        <is>
          <t>Cumprido</t>
        </is>
      </c>
      <c r="N13" s="44" t="n">
        <v>46029</v>
      </c>
      <c r="O13" s="41" t="inlineStr">
        <is>
          <t>Atendimento Renata</t>
        </is>
      </c>
    </row>
    <row r="14" ht="18" customHeight="1">
      <c r="A14" s="40" t="inlineStr">
        <is>
          <t>0028206-72.2010.8.24.0020</t>
        </is>
      </c>
      <c r="B14" s="40" t="inlineStr">
        <is>
          <t>Outras</t>
        </is>
      </c>
      <c r="C14" s="41" t="n"/>
      <c r="D14" s="41" t="inlineStr">
        <is>
          <t>Renata Francisco Becker</t>
        </is>
      </c>
      <c r="E14" s="44" t="n">
        <v>45685</v>
      </c>
      <c r="F14" s="41" t="inlineStr">
        <is>
          <t>Vara da Família</t>
        </is>
      </c>
      <c r="G14" s="41" t="n"/>
      <c r="I14" s="41" t="inlineStr"/>
      <c r="J14" s="41" t="inlineStr">
        <is>
          <t>Prazo</t>
        </is>
      </c>
      <c r="K14" s="44" t="n">
        <v>46030</v>
      </c>
      <c r="L14" s="41" t="inlineStr">
        <is>
          <t xml:space="preserve">Alexia </t>
        </is>
      </c>
      <c r="M14" s="40" t="inlineStr">
        <is>
          <t>Cumprido</t>
        </is>
      </c>
      <c r="N14" s="44" t="n">
        <v>46030</v>
      </c>
      <c r="O14" s="41" t="inlineStr">
        <is>
          <t>Prazo 19.12-defesa-prorrogação</t>
        </is>
      </c>
    </row>
    <row r="15" ht="18" customHeight="1">
      <c r="A15" s="40" t="n"/>
      <c r="B15" s="40" t="inlineStr">
        <is>
          <t>Outras</t>
        </is>
      </c>
      <c r="C15" s="41" t="n"/>
      <c r="D15" s="41" t="inlineStr">
        <is>
          <t>Marelize Controladoria</t>
        </is>
      </c>
      <c r="E15" s="44" t="n">
        <v>46080</v>
      </c>
      <c r="F15" s="41" t="n"/>
      <c r="G15" s="41" t="n"/>
      <c r="I15" s="41" t="inlineStr"/>
      <c r="J15" s="41" t="inlineStr">
        <is>
          <t>Tarefa</t>
        </is>
      </c>
      <c r="K15" s="44" t="n">
        <v>46030</v>
      </c>
      <c r="L15" s="41" t="inlineStr">
        <is>
          <t>Julia</t>
        </is>
      </c>
      <c r="M15" s="40" t="inlineStr">
        <is>
          <t>Cumprido</t>
        </is>
      </c>
      <c r="N15" s="44" t="n">
        <v>46030</v>
      </c>
      <c r="O15" s="41" t="inlineStr">
        <is>
          <t xml:space="preserve">FAZER AÇÃO RECISÓRIA CONTRATUAL </t>
        </is>
      </c>
    </row>
    <row r="16" ht="18" customHeight="1">
      <c r="A16" s="40" t="inlineStr">
        <is>
          <t>0001022-55.2025.5.12.0003</t>
        </is>
      </c>
      <c r="B16" s="40" t="inlineStr">
        <is>
          <t>Outras</t>
        </is>
      </c>
      <c r="C16" s="41" t="n"/>
      <c r="D16" s="41" t="inlineStr">
        <is>
          <t>Renata Francisco Becker</t>
        </is>
      </c>
      <c r="E16" s="44" t="n">
        <v>45890</v>
      </c>
      <c r="F16" s="41" t="inlineStr">
        <is>
          <t>Vara do Trabalho</t>
        </is>
      </c>
      <c r="G16" s="41" t="n"/>
      <c r="I16" s="41" t="inlineStr"/>
      <c r="J16" s="41" t="inlineStr">
        <is>
          <t>Tarefa</t>
        </is>
      </c>
      <c r="K16" s="44" t="n">
        <v>46030</v>
      </c>
      <c r="L16" s="41" t="inlineStr">
        <is>
          <t>Marelize Controladoria</t>
        </is>
      </c>
      <c r="M16" s="40" t="inlineStr">
        <is>
          <t>Cumprido</t>
        </is>
      </c>
      <c r="N16" s="44" t="n">
        <v>46030</v>
      </c>
      <c r="O16" s="41" t="inlineStr">
        <is>
          <t xml:space="preserve">Verificar demanda Perdoná </t>
        </is>
      </c>
    </row>
    <row r="17" ht="18" customHeight="1">
      <c r="A17" s="40" t="inlineStr">
        <is>
          <t>5012554-02.2025.8.24.0020</t>
        </is>
      </c>
      <c r="B17" s="40" t="inlineStr">
        <is>
          <t>Outras</t>
        </is>
      </c>
      <c r="C17" s="41" t="n"/>
      <c r="D17" s="41" t="inlineStr">
        <is>
          <t>Renata Francisco Becker</t>
        </is>
      </c>
      <c r="E17" s="44" t="n">
        <v>45813</v>
      </c>
      <c r="F17" s="41" t="inlineStr"/>
      <c r="G17" s="41" t="n"/>
      <c r="I17" s="41" t="inlineStr"/>
      <c r="J17" s="41" t="inlineStr">
        <is>
          <t>Tarefa</t>
        </is>
      </c>
      <c r="K17" s="44" t="n">
        <v>46030</v>
      </c>
      <c r="L17" s="41" t="inlineStr">
        <is>
          <t>Jessica</t>
        </is>
      </c>
      <c r="M17" s="40" t="inlineStr">
        <is>
          <t>Cumprido</t>
        </is>
      </c>
      <c r="N17" s="44" t="n">
        <v>46030</v>
      </c>
      <c r="O17" s="41" t="inlineStr">
        <is>
          <t xml:space="preserve">PLANEJAMENTO TRIBUTÁRIO DA PAPA JOHN </t>
        </is>
      </c>
    </row>
    <row r="18" ht="18" customHeight="1">
      <c r="A18" s="40" t="n"/>
      <c r="B18" s="40" t="inlineStr">
        <is>
          <t>Outras</t>
        </is>
      </c>
      <c r="C18" s="41" t="n"/>
      <c r="D18" s="41" t="inlineStr">
        <is>
          <t>Marelize Controladoria</t>
        </is>
      </c>
      <c r="E18" s="44" t="n">
        <v>46072</v>
      </c>
      <c r="F18" s="41" t="n"/>
      <c r="G18" s="41" t="n"/>
      <c r="I18" s="41" t="inlineStr"/>
      <c r="J18" s="41" t="inlineStr">
        <is>
          <t>Tarefa</t>
        </is>
      </c>
      <c r="K18" s="44" t="n">
        <v>46030</v>
      </c>
      <c r="L18" s="41" t="inlineStr">
        <is>
          <t>Julia</t>
        </is>
      </c>
      <c r="M18" s="40" t="inlineStr">
        <is>
          <t>Cumprido</t>
        </is>
      </c>
      <c r="N18" s="44" t="n">
        <v>46030</v>
      </c>
      <c r="O18" s="41" t="inlineStr">
        <is>
          <t xml:space="preserve"> Análise de Contratos Adicionais
Ação: Analisar e revisar dois modelos de contrato de grande porte utilizados pela Granda Engenharia.</t>
        </is>
      </c>
    </row>
    <row r="19" ht="18" customHeight="1">
      <c r="A19" s="40" t="inlineStr">
        <is>
          <t>5000200-62.2025.8.24.0175</t>
        </is>
      </c>
      <c r="B19" s="40" t="inlineStr">
        <is>
          <t>Outras</t>
        </is>
      </c>
      <c r="C19" s="41" t="n"/>
      <c r="D19" s="41" t="inlineStr">
        <is>
          <t>Renata Francisco Becker</t>
        </is>
      </c>
      <c r="E19" s="44" t="n">
        <v>45786</v>
      </c>
      <c r="F19" s="41" t="inlineStr">
        <is>
          <t>Vara Única</t>
        </is>
      </c>
      <c r="G19" s="41" t="n"/>
      <c r="I19" s="41" t="inlineStr">
        <is>
          <t>50000591320248240940</t>
        </is>
      </c>
      <c r="J19" s="41" t="inlineStr">
        <is>
          <t>Tarefa</t>
        </is>
      </c>
      <c r="K19" s="44" t="n">
        <v>46030</v>
      </c>
      <c r="L19" s="41" t="inlineStr">
        <is>
          <t>Jessica</t>
        </is>
      </c>
      <c r="M19" s="40" t="inlineStr">
        <is>
          <t>Cumprido</t>
        </is>
      </c>
      <c r="N19" s="44" t="n">
        <v>46030</v>
      </c>
      <c r="O19" s="41" t="inlineStr">
        <is>
          <t xml:space="preserve">Conferir CDA juntada no PAF com a do processo para ver se é exatamente a mesma </t>
        </is>
      </c>
    </row>
    <row r="20" ht="18" customHeight="1">
      <c r="A20" s="40" t="inlineStr">
        <is>
          <t>5003424-51.2026.8.24.0020</t>
        </is>
      </c>
      <c r="B20" s="40" t="inlineStr">
        <is>
          <t>Outras</t>
        </is>
      </c>
      <c r="C20" s="41" t="n"/>
      <c r="D20" s="41" t="inlineStr">
        <is>
          <t>Marelize Controladoria</t>
        </is>
      </c>
      <c r="E20" s="44" t="n">
        <v>46099</v>
      </c>
      <c r="F20" s="41" t="inlineStr">
        <is>
          <t>Juízo da 4ª Vara Cível da Comarca de Criciúma</t>
        </is>
      </c>
      <c r="G20" s="41" t="n"/>
      <c r="I20" s="41" t="inlineStr"/>
      <c r="J20" s="41" t="inlineStr">
        <is>
          <t>Tarefa</t>
        </is>
      </c>
      <c r="K20" s="44" t="n">
        <v>46030</v>
      </c>
      <c r="L20" s="41" t="inlineStr">
        <is>
          <t xml:space="preserve">Lucas </t>
        </is>
      </c>
      <c r="M20" s="40" t="inlineStr">
        <is>
          <t>Cumprido</t>
        </is>
      </c>
      <c r="N20" s="44" t="n">
        <v>46030</v>
      </c>
      <c r="O20" s="41" t="inlineStr">
        <is>
          <t>Fazer regimento interno.</t>
        </is>
      </c>
    </row>
    <row r="21" ht="18" customHeight="1">
      <c r="A21" s="40" t="inlineStr">
        <is>
          <t>0000459-98.2025.5.12.0023</t>
        </is>
      </c>
      <c r="B21" s="40" t="inlineStr">
        <is>
          <t>Outras</t>
        </is>
      </c>
      <c r="C21" s="41" t="n"/>
      <c r="D21" s="41" t="inlineStr">
        <is>
          <t>Luci</t>
        </is>
      </c>
      <c r="E21" s="44" t="n">
        <v>45779</v>
      </c>
      <c r="F21" s="41" t="inlineStr"/>
      <c r="G21" s="41" t="n"/>
      <c r="I21" s="41" t="inlineStr"/>
      <c r="J21" s="41" t="inlineStr">
        <is>
          <t>Tarefa</t>
        </is>
      </c>
      <c r="K21" s="44" t="n">
        <v>46030</v>
      </c>
      <c r="L21" s="41" t="inlineStr">
        <is>
          <t>Julia</t>
        </is>
      </c>
      <c r="M21" s="40" t="inlineStr">
        <is>
          <t>Cumprido</t>
        </is>
      </c>
      <c r="N21" s="44" t="n">
        <v>46030</v>
      </c>
      <c r="O21" s="41" t="inlineStr">
        <is>
          <t>Joel pediu para analisar a declaração de ciencia e autorização para protocolo e ver o que posso aprimorar - pediu para Julia na reuniao do dia 17/12/2025</t>
        </is>
      </c>
    </row>
    <row r="22" ht="18" customHeight="1">
      <c r="A22" s="40" t="inlineStr">
        <is>
          <t>0028824-87.2025.8.19.0001</t>
        </is>
      </c>
      <c r="B22" s="40" t="inlineStr">
        <is>
          <t>Outras</t>
        </is>
      </c>
      <c r="C22" s="41" t="n"/>
      <c r="D22" s="41" t="inlineStr">
        <is>
          <t>Renata Francisco Becker</t>
        </is>
      </c>
      <c r="E22" s="44" t="n">
        <v>45727</v>
      </c>
      <c r="F22" s="41" t="inlineStr">
        <is>
          <t>2° Vara Especializada</t>
        </is>
      </c>
      <c r="G22" s="41" t="n"/>
      <c r="I22" s="41" t="inlineStr"/>
      <c r="J22" s="41" t="inlineStr">
        <is>
          <t>Evento</t>
        </is>
      </c>
      <c r="K22" s="44" t="n">
        <v>46030</v>
      </c>
      <c r="L22" s="41" t="inlineStr">
        <is>
          <t>Marelize Controladoria</t>
        </is>
      </c>
      <c r="M22" s="40" t="inlineStr">
        <is>
          <t>Cumprido</t>
        </is>
      </c>
      <c r="N22" s="44" t="n">
        <v>46030</v>
      </c>
      <c r="O22" s="41" t="inlineStr">
        <is>
          <t>Reunião inicial com a Karia -  IMPLEMENTAÇÃO</t>
        </is>
      </c>
    </row>
    <row r="23" ht="18" customHeight="1">
      <c r="A23" s="40" t="inlineStr">
        <is>
          <t>1025830-78.2026.8.26.0053</t>
        </is>
      </c>
      <c r="B23" s="40" t="inlineStr">
        <is>
          <t>Outras</t>
        </is>
      </c>
      <c r="C23" s="41" t="n"/>
      <c r="D23" s="41" t="inlineStr">
        <is>
          <t>Marelize Controladoria</t>
        </is>
      </c>
      <c r="E23" s="44" t="n">
        <v>46087</v>
      </c>
      <c r="F23" s="41" t="inlineStr">
        <is>
          <t>7ª Vara de Fazenda Pública</t>
        </is>
      </c>
      <c r="G23" s="41" t="n"/>
      <c r="I23" s="41" t="inlineStr"/>
      <c r="J23" s="41" t="inlineStr">
        <is>
          <t>Evento</t>
        </is>
      </c>
      <c r="K23" s="44" t="n">
        <v>46030</v>
      </c>
      <c r="L23" s="41" t="inlineStr">
        <is>
          <t>Renata Francisco Becker</t>
        </is>
      </c>
      <c r="M23" s="40" t="inlineStr">
        <is>
          <t>Cumprido</t>
        </is>
      </c>
      <c r="N23" s="44" t="n">
        <v>46030</v>
      </c>
      <c r="O23" s="41" t="inlineStr">
        <is>
          <t>Atendimento inventario Jessica</t>
        </is>
      </c>
    </row>
    <row r="24" ht="18" customHeight="1">
      <c r="A24" s="40" t="inlineStr">
        <is>
          <t>5024640-10.2022.8.24.0020</t>
        </is>
      </c>
      <c r="B24" s="40" t="inlineStr">
        <is>
          <t>Outras</t>
        </is>
      </c>
      <c r="C24" s="41" t="n"/>
      <c r="D24" s="41" t="inlineStr">
        <is>
          <t>Renata Francisco Becker</t>
        </is>
      </c>
      <c r="E24" s="44" t="n">
        <v>44858</v>
      </c>
      <c r="F24" s="41" t="inlineStr"/>
      <c r="G24" s="41" t="n"/>
      <c r="I24" s="41" t="inlineStr"/>
      <c r="J24" s="41" t="inlineStr">
        <is>
          <t>Prazo</t>
        </is>
      </c>
      <c r="K24" s="44" t="n">
        <v>46031</v>
      </c>
      <c r="L24" s="41" t="inlineStr">
        <is>
          <t>Julia</t>
        </is>
      </c>
      <c r="M24" s="40" t="inlineStr">
        <is>
          <t>Cumprido</t>
        </is>
      </c>
      <c r="N24" s="44" t="n">
        <v>46031</v>
      </c>
      <c r="O24" s="41" t="inlineStr">
        <is>
          <t>Atualizar contrato de tercerização</t>
        </is>
      </c>
    </row>
    <row r="25" ht="18" customHeight="1">
      <c r="A25" s="40" t="inlineStr">
        <is>
          <t>0005476-39.2025.8.26.0100</t>
        </is>
      </c>
      <c r="B25" s="40" t="inlineStr">
        <is>
          <t>Outras</t>
        </is>
      </c>
      <c r="C25" s="41" t="n"/>
      <c r="D25" s="41" t="inlineStr">
        <is>
          <t>Marelize Controladoria</t>
        </is>
      </c>
      <c r="E25" s="44" t="n">
        <v>46059</v>
      </c>
      <c r="F25" s="41" t="inlineStr">
        <is>
          <t>1ª Vara de Falências e Recuperações Judiciais</t>
        </is>
      </c>
      <c r="G25" s="41" t="n"/>
      <c r="I25" s="41" t="inlineStr"/>
      <c r="J25" s="41" t="inlineStr">
        <is>
          <t>Prazo</t>
        </is>
      </c>
      <c r="K25" s="44" t="n">
        <v>46031</v>
      </c>
      <c r="L25" s="41" t="inlineStr">
        <is>
          <t xml:space="preserve">Lucas </t>
        </is>
      </c>
      <c r="M25" s="40" t="inlineStr">
        <is>
          <t>Cumprido</t>
        </is>
      </c>
      <c r="N25" s="44" t="n">
        <v>46031</v>
      </c>
      <c r="O25" s="41" t="inlineStr">
        <is>
          <t>Demanda Expresso Veneza (Lucas)</t>
        </is>
      </c>
    </row>
    <row r="26" ht="18" customHeight="1">
      <c r="A26" s="40" t="inlineStr">
        <is>
          <t>5005551-84.2023.8.24.0078</t>
        </is>
      </c>
      <c r="B26" s="40" t="inlineStr">
        <is>
          <t>Outras</t>
        </is>
      </c>
      <c r="C26" s="41" t="n"/>
      <c r="D26" s="41" t="inlineStr">
        <is>
          <t>Pedro Victor</t>
        </is>
      </c>
      <c r="E26" s="44" t="n">
        <v>45337</v>
      </c>
      <c r="F26" s="41" t="inlineStr">
        <is>
          <t>Vara Cível</t>
        </is>
      </c>
      <c r="G26" s="41" t="n"/>
      <c r="I26" s="41" t="inlineStr"/>
      <c r="J26" s="41" t="inlineStr">
        <is>
          <t>Prazo</t>
        </is>
      </c>
      <c r="K26" s="44" t="n">
        <v>46031</v>
      </c>
      <c r="L26" s="41" t="inlineStr">
        <is>
          <t xml:space="preserve">Lucas </t>
        </is>
      </c>
      <c r="M26" s="40" t="inlineStr">
        <is>
          <t>Cumprido</t>
        </is>
      </c>
      <c r="N26" s="44" t="n">
        <v>46031</v>
      </c>
      <c r="O26" s="41" t="inlineStr">
        <is>
          <t>Demanda Vonscher (DET)</t>
        </is>
      </c>
    </row>
    <row r="27" ht="18" customHeight="1">
      <c r="A27" s="40" t="inlineStr">
        <is>
          <t>5011984-50.2024.8.24.0020</t>
        </is>
      </c>
      <c r="B27" s="40" t="inlineStr">
        <is>
          <t>Outras</t>
        </is>
      </c>
      <c r="C27" s="41" t="n"/>
      <c r="D27" s="41" t="inlineStr">
        <is>
          <t>Renata Francisco Becker</t>
        </is>
      </c>
      <c r="E27" s="44" t="n">
        <v>45426</v>
      </c>
      <c r="F27" s="41" t="inlineStr">
        <is>
          <t>Vara Cível</t>
        </is>
      </c>
      <c r="G27" s="41" t="n"/>
      <c r="I27" s="41" t="inlineStr">
        <is>
          <t>09.2022.00002328-6</t>
        </is>
      </c>
      <c r="J27" s="41" t="inlineStr">
        <is>
          <t>Prazo</t>
        </is>
      </c>
      <c r="K27" s="44" t="n">
        <v>46031</v>
      </c>
      <c r="L27" s="41" t="inlineStr">
        <is>
          <t xml:space="preserve">Lucas </t>
        </is>
      </c>
      <c r="M27" s="40" t="inlineStr">
        <is>
          <t>Cumprido</t>
        </is>
      </c>
      <c r="N27" s="44" t="n">
        <v>46031</v>
      </c>
      <c r="O27" s="41" t="inlineStr">
        <is>
          <t>Prazo</t>
        </is>
      </c>
    </row>
    <row r="28" ht="18" customHeight="1">
      <c r="A28" s="40" t="inlineStr">
        <is>
          <t>0001682-49.2025.5.12.0003</t>
        </is>
      </c>
      <c r="B28" s="40" t="inlineStr">
        <is>
          <t>Outras</t>
        </is>
      </c>
      <c r="C28" s="41" t="n"/>
      <c r="D28" s="41" t="inlineStr">
        <is>
          <t>Marelize Controladoria</t>
        </is>
      </c>
      <c r="E28" s="44" t="n">
        <v>46035</v>
      </c>
      <c r="F28" s="41" t="inlineStr">
        <is>
          <t>1ª VARA DO TRABALHO DE CRICIÚMA</t>
        </is>
      </c>
      <c r="G28" s="41" t="n"/>
      <c r="I28" s="41" t="inlineStr">
        <is>
          <t>5006390-88.2025.8.24.0030</t>
        </is>
      </c>
      <c r="J28" s="41" t="inlineStr">
        <is>
          <t>Prazo</t>
        </is>
      </c>
      <c r="K28" s="44" t="n">
        <v>46031</v>
      </c>
      <c r="L28" s="41" t="inlineStr">
        <is>
          <t>Renata Francisco Becker</t>
        </is>
      </c>
      <c r="M28" s="40" t="inlineStr">
        <is>
          <t>Cumprido</t>
        </is>
      </c>
      <c r="N28" s="44" t="n">
        <v>46031</v>
      </c>
      <c r="O28" s="41" t="inlineStr">
        <is>
          <t>Prazo Crime</t>
        </is>
      </c>
    </row>
    <row r="29" ht="18" customHeight="1">
      <c r="A29" s="40" t="inlineStr">
        <is>
          <t>5004196-94.2020.4.04.7204</t>
        </is>
      </c>
      <c r="B29" s="40" t="inlineStr">
        <is>
          <t>Outras</t>
        </is>
      </c>
      <c r="C29" s="41" t="n"/>
      <c r="D29" s="41" t="inlineStr">
        <is>
          <t>Renata Francisco Becker</t>
        </is>
      </c>
      <c r="E29" s="44" t="n">
        <v>44789</v>
      </c>
      <c r="F29" s="41" t="inlineStr">
        <is>
          <t>Juízo Federal da 4ª VF de Criciúma</t>
        </is>
      </c>
      <c r="G29" s="41" t="n"/>
      <c r="I29" s="41" t="inlineStr"/>
      <c r="J29" s="41" t="inlineStr">
        <is>
          <t>Prazo</t>
        </is>
      </c>
      <c r="K29" s="44" t="n">
        <v>46031</v>
      </c>
      <c r="L29" s="41" t="inlineStr">
        <is>
          <t>Jessica</t>
        </is>
      </c>
      <c r="M29" s="40" t="inlineStr">
        <is>
          <t>Cumprido</t>
        </is>
      </c>
      <c r="N29" s="44" t="n">
        <v>46031</v>
      </c>
      <c r="O29" s="41" t="inlineStr">
        <is>
          <t>prazo pedido caducidade</t>
        </is>
      </c>
    </row>
    <row r="30" ht="18" customHeight="1">
      <c r="A30" s="40" t="inlineStr">
        <is>
          <t>5012167-67.2019.4.04.7204</t>
        </is>
      </c>
      <c r="B30" s="40" t="inlineStr">
        <is>
          <t>Outras</t>
        </is>
      </c>
      <c r="C30" s="41" t="n"/>
      <c r="D30" s="41" t="inlineStr">
        <is>
          <t>Renata Francisco Becker</t>
        </is>
      </c>
      <c r="E30" s="44" t="n">
        <v>44725</v>
      </c>
      <c r="F30" s="41" t="inlineStr">
        <is>
          <t>Juízo Substituto da 4ª VF de Criciúma</t>
        </is>
      </c>
      <c r="G30" s="41" t="n"/>
      <c r="I30" s="41" t="inlineStr">
        <is>
          <t>5005478-34.2024.8.24.0028</t>
        </is>
      </c>
      <c r="J30" s="41" t="inlineStr">
        <is>
          <t>Prazo</t>
        </is>
      </c>
      <c r="K30" s="44" t="n">
        <v>46031</v>
      </c>
      <c r="L30" s="41" t="inlineStr">
        <is>
          <t>Renata Francisco Becker</t>
        </is>
      </c>
      <c r="M30" s="40" t="inlineStr">
        <is>
          <t>Cumprido</t>
        </is>
      </c>
      <c r="N30" s="44" t="n">
        <v>46031</v>
      </c>
      <c r="O30" s="41" t="inlineStr">
        <is>
          <t>RENUNCIA RECAPADORA</t>
        </is>
      </c>
    </row>
    <row r="31" ht="18" customHeight="1">
      <c r="A31" s="40" t="inlineStr">
        <is>
          <t>5000429-88.2021.8.24.0166</t>
        </is>
      </c>
      <c r="B31" s="40" t="inlineStr">
        <is>
          <t>Outras</t>
        </is>
      </c>
      <c r="C31" s="41" t="n"/>
      <c r="D31" s="41" t="inlineStr">
        <is>
          <t>Renata Francisco Becker</t>
        </is>
      </c>
      <c r="E31" s="44" t="n">
        <v>44701</v>
      </c>
      <c r="F31" s="41" t="inlineStr">
        <is>
          <t>Juizo Da Vara Unica Da Comarca De Forquilhinha</t>
        </is>
      </c>
      <c r="G31" s="41" t="n"/>
      <c r="I31" s="41" t="inlineStr"/>
      <c r="J31" s="41" t="inlineStr">
        <is>
          <t>Tarefa</t>
        </is>
      </c>
      <c r="K31" s="44" t="n">
        <v>46031</v>
      </c>
      <c r="L31" s="41" t="inlineStr">
        <is>
          <t xml:space="preserve">Lucas </t>
        </is>
      </c>
      <c r="M31" s="40" t="inlineStr">
        <is>
          <t>Cumprido</t>
        </is>
      </c>
      <c r="N31" s="44" t="n">
        <v>46031</v>
      </c>
      <c r="O31" s="41" t="inlineStr">
        <is>
          <t>09/01/2026 - CONFERIR ATIVIDADES MONITORADAS</t>
        </is>
      </c>
    </row>
    <row r="32" ht="18" customHeight="1">
      <c r="A32" s="40" t="inlineStr">
        <is>
          <t>5004194-27.2020.4.04.7204</t>
        </is>
      </c>
      <c r="B32" s="40" t="inlineStr">
        <is>
          <t>Outras</t>
        </is>
      </c>
      <c r="C32" s="41" t="n"/>
      <c r="D32" s="41" t="inlineStr">
        <is>
          <t>Renata Francisco Becker</t>
        </is>
      </c>
      <c r="E32" s="44" t="n">
        <v>44798</v>
      </c>
      <c r="F32" s="41" t="inlineStr">
        <is>
          <t>4</t>
        </is>
      </c>
      <c r="G32" s="41" t="n"/>
      <c r="I32" s="41" t="inlineStr"/>
      <c r="J32" s="41" t="inlineStr">
        <is>
          <t>Tarefa</t>
        </is>
      </c>
      <c r="K32" s="44" t="n">
        <v>46031</v>
      </c>
      <c r="L32" s="41" t="inlineStr">
        <is>
          <t>Renata Francisco Becker</t>
        </is>
      </c>
      <c r="M32" s="40" t="inlineStr">
        <is>
          <t>Cumprido</t>
        </is>
      </c>
      <c r="N32" s="44" t="n">
        <v>46031</v>
      </c>
      <c r="O32" s="41" t="inlineStr">
        <is>
          <t>Elaboração</t>
        </is>
      </c>
    </row>
    <row r="33" ht="18" customHeight="1">
      <c r="A33" s="40" t="inlineStr">
        <is>
          <t>5012238-69.2019.4.04.7204</t>
        </is>
      </c>
      <c r="B33" s="40" t="inlineStr">
        <is>
          <t>Outras</t>
        </is>
      </c>
      <c r="C33" s="41" t="n"/>
      <c r="D33" s="41" t="inlineStr">
        <is>
          <t>Renata Francisco Becker</t>
        </is>
      </c>
      <c r="E33" s="44" t="n">
        <v>44719</v>
      </c>
      <c r="F33" s="41" t="inlineStr">
        <is>
          <t>Juízo Federal da 4ª VF de Criciúma</t>
        </is>
      </c>
      <c r="G33" s="41" t="n"/>
      <c r="I33" s="41" t="inlineStr">
        <is>
          <t>09.2022.00002328-6</t>
        </is>
      </c>
      <c r="J33" s="41" t="inlineStr">
        <is>
          <t>Tarefa</t>
        </is>
      </c>
      <c r="K33" s="44" t="n">
        <v>46031</v>
      </c>
      <c r="L33" s="41" t="inlineStr">
        <is>
          <t xml:space="preserve">Lucas </t>
        </is>
      </c>
      <c r="M33" s="40" t="inlineStr">
        <is>
          <t>Cumprido</t>
        </is>
      </c>
      <c r="N33" s="44" t="n">
        <v>46031</v>
      </c>
      <c r="O33" s="41" t="inlineStr">
        <is>
          <t>Elaboração</t>
        </is>
      </c>
    </row>
    <row r="34" ht="18" customHeight="1">
      <c r="A34" s="40" t="inlineStr">
        <is>
          <t>5020732-76.2021.8.24.0020</t>
        </is>
      </c>
      <c r="B34" s="40" t="inlineStr">
        <is>
          <t>Outras</t>
        </is>
      </c>
      <c r="C34" s="41" t="n"/>
      <c r="D34" s="41" t="inlineStr">
        <is>
          <t>Renata Francisco Becker</t>
        </is>
      </c>
      <c r="E34" s="44" t="n">
        <v>44781</v>
      </c>
      <c r="F34" s="41" t="inlineStr">
        <is>
          <t>Juízo da Vara da Infância e Juventude e Anexos da Comarca de Criciúma</t>
        </is>
      </c>
      <c r="G34" s="41" t="n"/>
      <c r="I34" s="41" t="inlineStr"/>
      <c r="J34" s="41" t="inlineStr">
        <is>
          <t>Tarefa</t>
        </is>
      </c>
      <c r="K34" s="44" t="n">
        <v>46031</v>
      </c>
      <c r="L34" s="41" t="inlineStr">
        <is>
          <t>Julia</t>
        </is>
      </c>
      <c r="M34" s="40" t="inlineStr">
        <is>
          <t>Cumprido</t>
        </is>
      </c>
      <c r="N34" s="44" t="n">
        <v>46031</v>
      </c>
      <c r="O34" s="41" t="inlineStr">
        <is>
          <t>Elaboração</t>
        </is>
      </c>
    </row>
    <row r="35" ht="18" customHeight="1">
      <c r="A35" s="40" t="inlineStr">
        <is>
          <t>1000101-23.2021.8.26.0539</t>
        </is>
      </c>
      <c r="B35" s="40" t="inlineStr">
        <is>
          <t>Outras</t>
        </is>
      </c>
      <c r="C35" s="41" t="n"/>
      <c r="D35" s="41" t="inlineStr">
        <is>
          <t>Renata Francisco Becker</t>
        </is>
      </c>
      <c r="E35" s="44" t="n">
        <v>45764</v>
      </c>
      <c r="F35" s="41" t="inlineStr">
        <is>
          <t>3ª Vara Cível</t>
        </is>
      </c>
      <c r="G35" s="41" t="n"/>
      <c r="I35" s="41" t="inlineStr"/>
      <c r="J35" s="41" t="inlineStr">
        <is>
          <t>Tarefa</t>
        </is>
      </c>
      <c r="K35" s="44" t="n">
        <v>46031</v>
      </c>
      <c r="L35" s="41" t="inlineStr">
        <is>
          <t>Renata Francisco Becker</t>
        </is>
      </c>
      <c r="M35" s="40" t="inlineStr">
        <is>
          <t>Cumprido</t>
        </is>
      </c>
      <c r="N35" s="44" t="n">
        <v>46031</v>
      </c>
      <c r="O35" s="41" t="inlineStr">
        <is>
          <t xml:space="preserve">Finalizar agenda Lucas (jud e adm) </t>
        </is>
      </c>
    </row>
    <row r="36" ht="18" customHeight="1">
      <c r="A36" s="40" t="inlineStr">
        <is>
          <t>5032306-91.2024.8.24.0020</t>
        </is>
      </c>
      <c r="B36" s="40" t="inlineStr">
        <is>
          <t>Outras</t>
        </is>
      </c>
      <c r="C36" s="41" t="n"/>
      <c r="D36" s="41" t="inlineStr">
        <is>
          <t>Pedro Victor</t>
        </is>
      </c>
      <c r="E36" s="44" t="n">
        <v>45593</v>
      </c>
      <c r="F36" s="41" t="inlineStr"/>
      <c r="G36" s="41" t="n"/>
      <c r="I36" s="41" t="inlineStr">
        <is>
          <t>09.2022.00002328-6</t>
        </is>
      </c>
      <c r="J36" s="41" t="inlineStr">
        <is>
          <t>Tarefa</t>
        </is>
      </c>
      <c r="K36" s="44" t="n">
        <v>46031</v>
      </c>
      <c r="L36" s="41" t="inlineStr">
        <is>
          <t xml:space="preserve">Lucas </t>
        </is>
      </c>
      <c r="M36" s="40" t="inlineStr">
        <is>
          <t>Cumprido</t>
        </is>
      </c>
      <c r="N36" s="44" t="n">
        <v>46031</v>
      </c>
      <c r="O36" s="41" t="inlineStr">
        <is>
          <t>Protocolo</t>
        </is>
      </c>
    </row>
    <row r="37" ht="18" customHeight="1">
      <c r="A37" s="40" t="inlineStr">
        <is>
          <t>5017084-75.2026.8.24.0000</t>
        </is>
      </c>
      <c r="B37" s="40" t="inlineStr">
        <is>
          <t>Outras</t>
        </is>
      </c>
      <c r="C37" s="41" t="n"/>
      <c r="D37" s="41" t="inlineStr">
        <is>
          <t>Pedro Victor</t>
        </is>
      </c>
      <c r="E37" s="44" t="n">
        <v>46084</v>
      </c>
      <c r="F37" s="41" t="inlineStr"/>
      <c r="G37" s="41" t="n"/>
      <c r="I37" s="41" t="inlineStr"/>
      <c r="J37" s="41" t="inlineStr">
        <is>
          <t>Tarefa</t>
        </is>
      </c>
      <c r="K37" s="44" t="n">
        <v>46031</v>
      </c>
      <c r="L37" s="41" t="inlineStr">
        <is>
          <t>Julia</t>
        </is>
      </c>
      <c r="M37" s="40" t="inlineStr">
        <is>
          <t>Cumprido</t>
        </is>
      </c>
      <c r="N37" s="44" t="n">
        <v>46031</v>
      </c>
      <c r="O37" s="41" t="inlineStr">
        <is>
          <t>REVISAR URGENTE - Notificação de devolução de valores - Mega Máquinas</t>
        </is>
      </c>
    </row>
    <row r="38" ht="18" customHeight="1">
      <c r="A38" s="40" t="n"/>
      <c r="B38" s="40" t="inlineStr">
        <is>
          <t>Outras</t>
        </is>
      </c>
      <c r="C38" s="41" t="n"/>
      <c r="D38" s="41" t="inlineStr">
        <is>
          <t>Marelize Controladoria</t>
        </is>
      </c>
      <c r="E38" s="44" t="n">
        <v>46052</v>
      </c>
      <c r="F38" s="41" t="n"/>
      <c r="G38" s="41" t="n"/>
      <c r="I38" s="41" t="inlineStr">
        <is>
          <t>09.2022.00002328-6</t>
        </is>
      </c>
      <c r="J38" s="41" t="inlineStr">
        <is>
          <t>Tarefa</t>
        </is>
      </c>
      <c r="K38" s="44" t="n">
        <v>46031</v>
      </c>
      <c r="L38" s="41" t="inlineStr">
        <is>
          <t>Renata Francisco Becker</t>
        </is>
      </c>
      <c r="M38" s="40" t="inlineStr">
        <is>
          <t>Cumprido</t>
        </is>
      </c>
      <c r="N38" s="44" t="n">
        <v>46031</v>
      </c>
      <c r="O38" s="41" t="inlineStr">
        <is>
          <t>Revisão</t>
        </is>
      </c>
    </row>
    <row r="39" ht="18" customHeight="1">
      <c r="A39" s="40" t="inlineStr">
        <is>
          <t>03063527020158240020</t>
        </is>
      </c>
      <c r="B39" s="40" t="inlineStr">
        <is>
          <t>Outras</t>
        </is>
      </c>
      <c r="C39" s="41" t="n"/>
      <c r="D39" s="41" t="inlineStr">
        <is>
          <t>Pedro Victor</t>
        </is>
      </c>
      <c r="E39" s="44" t="n">
        <v>45877</v>
      </c>
      <c r="F39" s="41" t="inlineStr">
        <is>
          <t>Juízo da 1ª Vara da Fazenda Pública da Comarca de Criciúma</t>
        </is>
      </c>
      <c r="G39" s="41" t="n"/>
      <c r="I39" s="41" t="inlineStr">
        <is>
          <t>09.2022.00002328-6</t>
        </is>
      </c>
      <c r="J39" s="41" t="inlineStr">
        <is>
          <t>Tarefa</t>
        </is>
      </c>
      <c r="K39" s="44" t="n">
        <v>46031</v>
      </c>
      <c r="L39" s="41" t="inlineStr">
        <is>
          <t xml:space="preserve">Lucas </t>
        </is>
      </c>
      <c r="M39" s="40" t="inlineStr">
        <is>
          <t>Cumprido</t>
        </is>
      </c>
      <c r="N39" s="44" t="n">
        <v>46031</v>
      </c>
      <c r="O39" s="41" t="inlineStr">
        <is>
          <t>Revisão</t>
        </is>
      </c>
    </row>
    <row r="40" ht="18" customHeight="1">
      <c r="A40" s="40" t="n"/>
      <c r="B40" s="40" t="inlineStr">
        <is>
          <t>Outras</t>
        </is>
      </c>
      <c r="C40" s="41" t="n"/>
      <c r="D40" s="41" t="inlineStr">
        <is>
          <t>Marelize Controladoria</t>
        </is>
      </c>
      <c r="E40" s="44" t="n">
        <v>46083</v>
      </c>
      <c r="F40" s="41" t="n"/>
      <c r="G40" s="41" t="n"/>
      <c r="I40" s="41" t="inlineStr"/>
      <c r="J40" s="41" t="inlineStr">
        <is>
          <t>Tarefa</t>
        </is>
      </c>
      <c r="K40" s="44" t="n">
        <v>46031</v>
      </c>
      <c r="L40" s="41" t="inlineStr">
        <is>
          <t>Julia</t>
        </is>
      </c>
      <c r="M40" s="40" t="inlineStr">
        <is>
          <t>Cumprido</t>
        </is>
      </c>
      <c r="N40" s="44" t="n">
        <v>46031</v>
      </c>
      <c r="O40" s="41" t="inlineStr">
        <is>
          <t>Revisão</t>
        </is>
      </c>
    </row>
    <row r="41" ht="18" customHeight="1">
      <c r="A41" s="40" t="inlineStr">
        <is>
          <t>50061056220248240020</t>
        </is>
      </c>
      <c r="B41" s="40" t="inlineStr">
        <is>
          <t>Outras</t>
        </is>
      </c>
      <c r="C41" s="41" t="n"/>
      <c r="D41" s="41" t="inlineStr">
        <is>
          <t>Renata Francisco Becker</t>
        </is>
      </c>
      <c r="E41" s="44" t="n">
        <v>45370</v>
      </c>
      <c r="F41" s="41" t="inlineStr"/>
      <c r="G41" s="41" t="n"/>
      <c r="I41" s="41" t="inlineStr"/>
      <c r="J41" s="41" t="inlineStr">
        <is>
          <t>Tarefa</t>
        </is>
      </c>
      <c r="K41" s="44" t="n">
        <v>46031</v>
      </c>
      <c r="L41" s="41" t="inlineStr">
        <is>
          <t>Marelize Controladoria</t>
        </is>
      </c>
      <c r="M41" s="40" t="inlineStr">
        <is>
          <t>Cumprido</t>
        </is>
      </c>
      <c r="N41" s="44" t="n">
        <v>46031</v>
      </c>
      <c r="O41" s="41" t="inlineStr">
        <is>
          <t>VERIFICAR PINK - LU/JESS/ALE/JU</t>
        </is>
      </c>
    </row>
    <row r="42" ht="18" customHeight="1">
      <c r="A42" s="40" t="n"/>
      <c r="B42" s="40" t="inlineStr">
        <is>
          <t>Outras</t>
        </is>
      </c>
      <c r="C42" s="41" t="n"/>
      <c r="D42" s="41" t="inlineStr">
        <is>
          <t>Renata Francisco Becker</t>
        </is>
      </c>
      <c r="E42" s="44" t="n">
        <v>45541</v>
      </c>
      <c r="F42" s="41" t="n"/>
      <c r="G42" s="41" t="n"/>
      <c r="I42" s="41" t="inlineStr">
        <is>
          <t>0000500-51.2025.5.12.0060</t>
        </is>
      </c>
      <c r="J42" s="41" t="inlineStr">
        <is>
          <t>Tarefa</t>
        </is>
      </c>
      <c r="K42" s="44" t="n">
        <v>46031</v>
      </c>
      <c r="L42" s="41" t="inlineStr">
        <is>
          <t xml:space="preserve">Lucas </t>
        </is>
      </c>
      <c r="M42" s="40" t="inlineStr">
        <is>
          <t>Cumprido</t>
        </is>
      </c>
      <c r="N42" s="44" t="n">
        <v>46031</v>
      </c>
      <c r="O42" s="41" t="inlineStr">
        <is>
          <t>14/01/2026 - Cobrar Paulo do pagamenrto da parcela.
Wnviar o pix para pagamento hasckelr@hotmail.com
PArcela de R$1.000,00</t>
        </is>
      </c>
    </row>
    <row r="43" ht="18" customHeight="1">
      <c r="A43" s="40" t="inlineStr">
        <is>
          <t>0001360-54.2025.5.12.0027</t>
        </is>
      </c>
      <c r="B43" s="40" t="inlineStr">
        <is>
          <t>Outras</t>
        </is>
      </c>
      <c r="C43" s="41" t="n"/>
      <c r="D43" s="41" t="inlineStr">
        <is>
          <t>Renata Francisco Becker</t>
        </is>
      </c>
      <c r="E43" s="44" t="n">
        <v>45926</v>
      </c>
      <c r="F43" s="41" t="inlineStr">
        <is>
          <t>Vara do Trabalho</t>
        </is>
      </c>
      <c r="G43" s="41" t="n"/>
      <c r="I43" s="41" t="inlineStr">
        <is>
          <t>0000500-51.2025.5.12.0060</t>
        </is>
      </c>
      <c r="J43" s="41" t="inlineStr">
        <is>
          <t>Tarefa</t>
        </is>
      </c>
      <c r="K43" s="44" t="n">
        <v>46031</v>
      </c>
      <c r="L43" s="41" t="inlineStr">
        <is>
          <t xml:space="preserve">Lucas </t>
        </is>
      </c>
      <c r="M43" s="40" t="inlineStr">
        <is>
          <t>Cumprido</t>
        </is>
      </c>
      <c r="N43" s="44" t="n">
        <v>46031</v>
      </c>
      <c r="O43" s="41" t="inlineStr">
        <is>
          <t>14/12/2025 - Cobrar Paulo do pagamenrto da parcela.
Wnviar o pix para pagamento hasckelr@hotmail.com
PArcela de R$1.000,00</t>
        </is>
      </c>
    </row>
    <row r="44" ht="18" customHeight="1">
      <c r="A44" s="40" t="inlineStr">
        <is>
          <t>0000579-26.2017.5.12.0055</t>
        </is>
      </c>
      <c r="B44" s="40" t="inlineStr">
        <is>
          <t>Outras</t>
        </is>
      </c>
      <c r="C44" s="41" t="n"/>
      <c r="D44" s="41" t="inlineStr">
        <is>
          <t>Renata Francisco Becker</t>
        </is>
      </c>
      <c r="E44" s="44" t="n">
        <v>44844</v>
      </c>
      <c r="F44" s="41" t="inlineStr"/>
      <c r="G44" s="41" t="n"/>
      <c r="I44" s="41" t="inlineStr"/>
      <c r="J44" s="41" t="inlineStr">
        <is>
          <t>Tarefa</t>
        </is>
      </c>
      <c r="K44" s="44" t="n">
        <v>46031</v>
      </c>
      <c r="L44" s="41" t="inlineStr">
        <is>
          <t>Marelize Controladoria</t>
        </is>
      </c>
      <c r="M44" s="40" t="inlineStr">
        <is>
          <t>Cumprido</t>
        </is>
      </c>
      <c r="N44" s="44" t="n">
        <v>46031</v>
      </c>
      <c r="O44" s="41" t="inlineStr">
        <is>
          <t>AGENDAR - @Marelize agenda pra mim uma reunião de apresentação de assessoria para o Ramon Demarch na semana que vem.</t>
        </is>
      </c>
    </row>
    <row r="45" ht="18" customHeight="1">
      <c r="A45" s="40" t="inlineStr">
        <is>
          <t>5012243-91.2019.4.04.7204</t>
        </is>
      </c>
      <c r="B45" s="40" t="inlineStr">
        <is>
          <t>Outras</t>
        </is>
      </c>
      <c r="C45" s="41" t="n"/>
      <c r="D45" s="41" t="inlineStr">
        <is>
          <t>Renata Francisco Becker</t>
        </is>
      </c>
      <c r="E45" s="44" t="n">
        <v>44706</v>
      </c>
      <c r="F45" s="41" t="inlineStr">
        <is>
          <t>Juízo Federal da 1ª VF de Tubarão</t>
        </is>
      </c>
      <c r="G45" s="41" t="n"/>
      <c r="I45" s="41" t="inlineStr"/>
      <c r="J45" s="41" t="inlineStr">
        <is>
          <t>Tarefa</t>
        </is>
      </c>
      <c r="K45" s="44" t="n">
        <v>46031</v>
      </c>
      <c r="L45" s="41" t="inlineStr">
        <is>
          <t xml:space="preserve">Alexia </t>
        </is>
      </c>
      <c r="M45" s="40" t="inlineStr">
        <is>
          <t>Cumprido</t>
        </is>
      </c>
      <c r="N45" s="44" t="n">
        <v>46031</v>
      </c>
      <c r="O45" s="41" t="inlineStr">
        <is>
          <t>Ação Pedagio</t>
        </is>
      </c>
    </row>
    <row r="46" ht="18" customHeight="1">
      <c r="A46" s="40" t="inlineStr">
        <is>
          <t>5000981-30.2026.8.24.0020</t>
        </is>
      </c>
      <c r="B46" s="40" t="inlineStr">
        <is>
          <t>Outras</t>
        </is>
      </c>
      <c r="C46" s="41" t="n"/>
      <c r="D46" s="41" t="inlineStr">
        <is>
          <t>Marelize Controladoria</t>
        </is>
      </c>
      <c r="E46" s="44" t="n">
        <v>46045</v>
      </c>
      <c r="F46" s="41" t="inlineStr">
        <is>
          <t>Juízo do Juizado Especial Cível da Comarca de Criciúma</t>
        </is>
      </c>
      <c r="G46" s="41" t="n"/>
      <c r="I46" s="41" t="inlineStr"/>
      <c r="J46" s="41" t="inlineStr">
        <is>
          <t>Tarefa</t>
        </is>
      </c>
      <c r="K46" s="44" t="n">
        <v>46031</v>
      </c>
      <c r="L46" s="41" t="inlineStr">
        <is>
          <t>Jessica</t>
        </is>
      </c>
      <c r="M46" s="40" t="inlineStr">
        <is>
          <t>Cumprido</t>
        </is>
      </c>
      <c r="N46" s="44" t="n">
        <v>46031</v>
      </c>
      <c r="O46" s="41" t="inlineStr">
        <is>
          <t xml:space="preserve">conferir contratos sociais feitos pelo Edivanio - </t>
        </is>
      </c>
    </row>
    <row r="47" ht="18" customHeight="1">
      <c r="A47" s="40" t="inlineStr">
        <is>
          <t>0000254-62.2026.5.12.0014</t>
        </is>
      </c>
      <c r="B47" s="40" t="inlineStr">
        <is>
          <t>Outras</t>
        </is>
      </c>
      <c r="C47" s="41" t="n"/>
      <c r="D47" s="41" t="inlineStr">
        <is>
          <t>Marelize Controladoria</t>
        </is>
      </c>
      <c r="E47" s="44" t="n">
        <v>46077</v>
      </c>
      <c r="F47" s="41" t="inlineStr"/>
      <c r="G47" s="41" t="n"/>
      <c r="I47" s="41" t="inlineStr"/>
      <c r="J47" s="41" t="inlineStr">
        <is>
          <t>Tarefa</t>
        </is>
      </c>
      <c r="K47" s="44" t="n">
        <v>46031</v>
      </c>
      <c r="L47" s="41" t="inlineStr">
        <is>
          <t xml:space="preserve">Lucas </t>
        </is>
      </c>
      <c r="M47" s="40" t="inlineStr">
        <is>
          <t>Cumprido</t>
        </is>
      </c>
      <c r="N47" s="44" t="n">
        <v>46031</v>
      </c>
      <c r="O47" s="41" t="inlineStr">
        <is>
          <t>Criar e implementar o regimento interno</t>
        </is>
      </c>
    </row>
    <row r="48" ht="18" customHeight="1">
      <c r="A48" s="40" t="inlineStr">
        <is>
          <t>5030127-53.2025.8.24.0020</t>
        </is>
      </c>
      <c r="B48" s="40" t="inlineStr">
        <is>
          <t>Outras</t>
        </is>
      </c>
      <c r="C48" s="41" t="n"/>
      <c r="D48" s="41" t="inlineStr">
        <is>
          <t>Marelize Controladoria</t>
        </is>
      </c>
      <c r="E48" s="44" t="n">
        <v>46090</v>
      </c>
      <c r="F48" s="41" t="inlineStr">
        <is>
          <t>Juízo da 4ª Vara Cível da Comarca de Criciúma</t>
        </is>
      </c>
      <c r="G48" s="41" t="n"/>
      <c r="I48" s="41" t="inlineStr"/>
      <c r="J48" s="41" t="inlineStr">
        <is>
          <t>Tarefa</t>
        </is>
      </c>
      <c r="K48" s="44" t="n">
        <v>46031</v>
      </c>
      <c r="L48" s="41" t="inlineStr">
        <is>
          <t>Julia</t>
        </is>
      </c>
      <c r="M48" s="40" t="inlineStr">
        <is>
          <t>Cumprido</t>
        </is>
      </c>
      <c r="N48" s="44" t="n">
        <v>46031</v>
      </c>
      <c r="O48" s="41" t="inlineStr">
        <is>
          <t>Elaboração</t>
        </is>
      </c>
    </row>
    <row r="49" ht="18" customHeight="1">
      <c r="A49" s="40" t="inlineStr">
        <is>
          <t>5065946-13.2023.8.24.0023</t>
        </is>
      </c>
      <c r="B49" s="40" t="inlineStr">
        <is>
          <t>Outras</t>
        </is>
      </c>
      <c r="C49" s="41" t="n"/>
      <c r="D49" s="41" t="inlineStr">
        <is>
          <t>Renata Francisco Becker</t>
        </is>
      </c>
      <c r="E49" s="44" t="n">
        <v>45412</v>
      </c>
      <c r="F49" s="41" t="inlineStr"/>
      <c r="G49" s="41" t="n"/>
      <c r="I49" s="41" t="inlineStr"/>
      <c r="J49" s="41" t="inlineStr">
        <is>
          <t>Tarefa</t>
        </is>
      </c>
      <c r="K49" s="44" t="n">
        <v>46031</v>
      </c>
      <c r="L49" s="41" t="inlineStr">
        <is>
          <t>Julia</t>
        </is>
      </c>
      <c r="M49" s="40" t="inlineStr">
        <is>
          <t>Cumprido</t>
        </is>
      </c>
      <c r="N49" s="44" t="n">
        <v>46031</v>
      </c>
      <c r="O49" s="41" t="inlineStr">
        <is>
          <t xml:space="preserve">Fazer cobrança adm, olha no histórico do caso. 
Não temos a nota fiscal, vamos entrar em contato (48-8808-1759) para ver se conseguimos um acordo na esfera adm.
</t>
        </is>
      </c>
    </row>
    <row r="50" ht="18" customHeight="1">
      <c r="A50" s="40" t="n"/>
      <c r="B50" s="40" t="inlineStr">
        <is>
          <t>Outras</t>
        </is>
      </c>
      <c r="C50" s="41" t="n"/>
      <c r="D50" s="41" t="inlineStr">
        <is>
          <t>Marelize Controladoria</t>
        </is>
      </c>
      <c r="E50" s="44" t="n">
        <v>46056</v>
      </c>
      <c r="F50" s="41" t="n"/>
      <c r="G50" s="41" t="n"/>
      <c r="I50" s="41" t="inlineStr"/>
      <c r="J50" s="41" t="inlineStr">
        <is>
          <t>Tarefa</t>
        </is>
      </c>
      <c r="K50" s="44" t="n">
        <v>46031</v>
      </c>
      <c r="L50" s="41" t="inlineStr">
        <is>
          <t xml:space="preserve">Lucas </t>
        </is>
      </c>
      <c r="M50" s="40" t="inlineStr">
        <is>
          <t>Cumprido</t>
        </is>
      </c>
      <c r="N50" s="44" t="n">
        <v>46031</v>
      </c>
      <c r="O50" s="41" t="inlineStr">
        <is>
          <t>Fazer um checkout de todas as empresas. 
verificar se todas as assessorias estão cadastradas no astrea.
as que não estiverem, cadastrar. as que estiverem verificar se estão alimentadas com o máximo de informações importantes. se não, alimentar.</t>
        </is>
      </c>
    </row>
    <row r="51" ht="18" customHeight="1">
      <c r="A51" s="40" t="inlineStr">
        <is>
          <t>5000678-95.2026.8.24.0026</t>
        </is>
      </c>
      <c r="B51" s="40" t="inlineStr">
        <is>
          <t>Outras</t>
        </is>
      </c>
      <c r="C51" s="41" t="n"/>
      <c r="D51" s="41" t="inlineStr">
        <is>
          <t>Marelize Controladoria</t>
        </is>
      </c>
      <c r="E51" s="44" t="n">
        <v>46059</v>
      </c>
      <c r="F51" s="41" t="inlineStr">
        <is>
          <t>Juízo da 2ª Vara Cível da Comarca de Guaramirim</t>
        </is>
      </c>
      <c r="G51" s="41" t="n"/>
      <c r="I51" s="41" t="inlineStr">
        <is>
          <t>5004339-47.2024.8.24.0028</t>
        </is>
      </c>
      <c r="J51" s="41" t="inlineStr">
        <is>
          <t>Tarefa</t>
        </is>
      </c>
      <c r="K51" s="44" t="n">
        <v>46031</v>
      </c>
      <c r="L51" s="41" t="inlineStr">
        <is>
          <t>Julia</t>
        </is>
      </c>
      <c r="M51" s="40" t="inlineStr">
        <is>
          <t>Cumprido</t>
        </is>
      </c>
      <c r="N51" s="44" t="n">
        <v>46031</v>
      </c>
      <c r="O51" s="41" t="inlineStr">
        <is>
          <t>Julia acompanhar, se cartório expedio oficio para tabelionato para averbar o divórcio.</t>
        </is>
      </c>
    </row>
    <row r="52" ht="18" customHeight="1">
      <c r="A52" s="40" t="inlineStr">
        <is>
          <t>0310761-21.2017.8.24.0020</t>
        </is>
      </c>
      <c r="B52" s="40" t="inlineStr">
        <is>
          <t>Outras</t>
        </is>
      </c>
      <c r="C52" s="41" t="n"/>
      <c r="D52" s="41" t="inlineStr">
        <is>
          <t>Renata Francisco Becker</t>
        </is>
      </c>
      <c r="E52" s="44" t="n">
        <v>44705</v>
      </c>
      <c r="F52" s="41" t="inlineStr">
        <is>
          <t>Juízo da 2ª Vara Cível da Comarca de Criciúma</t>
        </is>
      </c>
      <c r="G52" s="41" t="n"/>
      <c r="I52" s="41" t="inlineStr"/>
      <c r="J52" s="41" t="inlineStr">
        <is>
          <t>Tarefa</t>
        </is>
      </c>
      <c r="K52" s="44" t="n">
        <v>46031</v>
      </c>
      <c r="L52" s="41" t="inlineStr">
        <is>
          <t xml:space="preserve">Lucas </t>
        </is>
      </c>
      <c r="M52" s="40" t="inlineStr">
        <is>
          <t>Cumprido</t>
        </is>
      </c>
      <c r="N52" s="44" t="n">
        <v>46031</v>
      </c>
      <c r="O52" s="41" t="inlineStr">
        <is>
          <t>Melhorar documentos únicos das empresas - Acrescentar termo de compromisso Regimento</t>
        </is>
      </c>
    </row>
    <row r="53" ht="18" customHeight="1">
      <c r="A53" s="40" t="inlineStr">
        <is>
          <t>4000166-33.2026.8.26.0428</t>
        </is>
      </c>
      <c r="B53" s="40" t="inlineStr">
        <is>
          <t>Outras</t>
        </is>
      </c>
      <c r="C53" s="41" t="n"/>
      <c r="D53" s="41" t="inlineStr">
        <is>
          <t>Marelize Controladoria</t>
        </is>
      </c>
      <c r="E53" s="44" t="n">
        <v>46100</v>
      </c>
      <c r="F53" s="41" t="inlineStr">
        <is>
          <t>Juízo Titular I - Vara do Juizado Especial Cível e Criminal da Comarca de Paulínia</t>
        </is>
      </c>
      <c r="G53" s="41" t="n"/>
      <c r="I53" s="41" t="inlineStr"/>
      <c r="J53" s="41" t="inlineStr">
        <is>
          <t>Tarefa</t>
        </is>
      </c>
      <c r="K53" s="44" t="n">
        <v>46031</v>
      </c>
      <c r="L53" s="41" t="inlineStr">
        <is>
          <t>Jessica</t>
        </is>
      </c>
      <c r="M53" s="40" t="inlineStr">
        <is>
          <t>Cumprido</t>
        </is>
      </c>
      <c r="N53" s="44" t="n">
        <v>46031</v>
      </c>
      <c r="O53" s="41" t="inlineStr">
        <is>
          <t xml:space="preserve">peticionar no processo MMC pedindo a extinção do crédito tributário pelo pagamento </t>
        </is>
      </c>
    </row>
    <row r="54" ht="18" customHeight="1">
      <c r="A54" s="40" t="inlineStr">
        <is>
          <t>0000168-46.2018.5.12.0055</t>
        </is>
      </c>
      <c r="B54" s="40" t="inlineStr">
        <is>
          <t>Outras</t>
        </is>
      </c>
      <c r="C54" s="41" t="n"/>
      <c r="D54" s="41" t="inlineStr">
        <is>
          <t>Renata Francisco Becker</t>
        </is>
      </c>
      <c r="E54" s="44" t="n">
        <v>44754</v>
      </c>
      <c r="F54" s="41" t="inlineStr">
        <is>
          <t>4ª VARA DO TRABALHO DE CRICIÚMA</t>
        </is>
      </c>
      <c r="G54" s="41" t="n"/>
      <c r="I54" s="41" t="inlineStr"/>
      <c r="J54" s="41" t="inlineStr">
        <is>
          <t>Tarefa</t>
        </is>
      </c>
      <c r="K54" s="44" t="n">
        <v>46031</v>
      </c>
      <c r="L54" s="41" t="inlineStr">
        <is>
          <t>Renata Francisco Becker</t>
        </is>
      </c>
      <c r="M54" s="40" t="inlineStr">
        <is>
          <t>Cumprido</t>
        </is>
      </c>
      <c r="N54" s="44" t="n">
        <v>46031</v>
      </c>
      <c r="O54" s="41" t="inlineStr">
        <is>
          <t>RESTITUIÇÃO DE VALORES TLZ</t>
        </is>
      </c>
    </row>
    <row r="55" ht="18" customHeight="1">
      <c r="A55" s="40" t="inlineStr">
        <is>
          <t>5005921-60.2026.8.24.0045</t>
        </is>
      </c>
      <c r="B55" s="40" t="inlineStr">
        <is>
          <t>Outras</t>
        </is>
      </c>
      <c r="C55" s="41" t="n"/>
      <c r="D55" s="41" t="inlineStr">
        <is>
          <t>Renata Francisco Becker</t>
        </is>
      </c>
      <c r="E55" s="44" t="n">
        <v>46073</v>
      </c>
      <c r="F55" s="41" t="inlineStr">
        <is>
          <t>Juízo do Juizado Especial Cível da Comarca de Palhoça</t>
        </is>
      </c>
      <c r="G55" s="41" t="n"/>
      <c r="I55" s="41" t="inlineStr"/>
      <c r="J55" s="41" t="inlineStr">
        <is>
          <t>Tarefa</t>
        </is>
      </c>
      <c r="K55" s="44" t="n">
        <v>46031</v>
      </c>
      <c r="L55" s="41" t="inlineStr">
        <is>
          <t>Renata Francisco Becker</t>
        </is>
      </c>
      <c r="M55" s="40" t="inlineStr">
        <is>
          <t>Cumprido</t>
        </is>
      </c>
      <c r="N55" s="44" t="n">
        <v>46031</v>
      </c>
      <c r="O55" s="41" t="inlineStr">
        <is>
          <t>Revisão</t>
        </is>
      </c>
    </row>
    <row r="56" ht="18" customHeight="1">
      <c r="A56" s="40" t="n"/>
      <c r="B56" s="40" t="inlineStr">
        <is>
          <t>Outras</t>
        </is>
      </c>
      <c r="C56" s="41" t="n"/>
      <c r="D56" s="41" t="inlineStr">
        <is>
          <t>Marelize Controladoria</t>
        </is>
      </c>
      <c r="E56" s="44" t="n">
        <v>46097</v>
      </c>
      <c r="F56" s="41" t="n"/>
      <c r="G56" s="41" t="n"/>
      <c r="I56" s="41" t="inlineStr"/>
      <c r="J56" s="41" t="inlineStr">
        <is>
          <t>Tarefa</t>
        </is>
      </c>
      <c r="K56" s="44" t="n">
        <v>46031</v>
      </c>
      <c r="L56" s="41" t="inlineStr">
        <is>
          <t>Jessica</t>
        </is>
      </c>
      <c r="M56" s="40" t="inlineStr">
        <is>
          <t>Cumprido</t>
        </is>
      </c>
      <c r="N56" s="44" t="n">
        <v>46031</v>
      </c>
      <c r="O56" s="41" t="inlineStr">
        <is>
          <t xml:space="preserve">revisão contrato social escritorio </t>
        </is>
      </c>
    </row>
    <row r="57" ht="18" customHeight="1">
      <c r="A57" s="40" t="inlineStr">
        <is>
          <t>5033611-13.2024.8.24.0020</t>
        </is>
      </c>
      <c r="B57" s="40" t="inlineStr">
        <is>
          <t>Outras</t>
        </is>
      </c>
      <c r="C57" s="41" t="n"/>
      <c r="D57" s="41" t="inlineStr">
        <is>
          <t>Renata Francisco Becker</t>
        </is>
      </c>
      <c r="E57" s="44" t="n">
        <v>45706</v>
      </c>
      <c r="F57" s="41" t="inlineStr"/>
      <c r="G57" s="41" t="n"/>
      <c r="I57" s="41" t="inlineStr"/>
      <c r="J57" s="41" t="inlineStr">
        <is>
          <t>Tarefa</t>
        </is>
      </c>
      <c r="K57" s="44" t="n">
        <v>46031</v>
      </c>
      <c r="L57" s="41" t="inlineStr">
        <is>
          <t>Jessica</t>
        </is>
      </c>
      <c r="M57" s="40" t="inlineStr">
        <is>
          <t>Cumprido</t>
        </is>
      </c>
      <c r="N57" s="44" t="n">
        <v>46031</v>
      </c>
      <c r="O57" s="41" t="inlineStr">
        <is>
          <t>Solicitação de documentação</t>
        </is>
      </c>
    </row>
    <row r="58" ht="18" customHeight="1">
      <c r="A58" s="40" t="inlineStr">
        <is>
          <t>0000994-78.2025.5.12.0006</t>
        </is>
      </c>
      <c r="B58" s="40" t="inlineStr">
        <is>
          <t>Outras</t>
        </is>
      </c>
      <c r="C58" s="41" t="n"/>
      <c r="D58" s="41" t="inlineStr">
        <is>
          <t>Renata Francisco Becker</t>
        </is>
      </c>
      <c r="E58" s="44" t="n">
        <v>45925</v>
      </c>
      <c r="F58" s="41" t="inlineStr">
        <is>
          <t>Vara do Trabalho</t>
        </is>
      </c>
      <c r="G58" s="41" t="n"/>
      <c r="I58" s="41" t="inlineStr"/>
      <c r="J58" s="41" t="inlineStr">
        <is>
          <t>Evento</t>
        </is>
      </c>
      <c r="K58" s="44" t="n">
        <v>46031</v>
      </c>
      <c r="L58" s="41" t="inlineStr">
        <is>
          <t>Marelize Controladoria</t>
        </is>
      </c>
      <c r="M58" s="40" t="inlineStr">
        <is>
          <t>Cumprido</t>
        </is>
      </c>
      <c r="N58" s="44" t="n">
        <v>46031</v>
      </c>
      <c r="O58" s="41" t="inlineStr">
        <is>
          <t xml:space="preserve">Reunião (Empresa TLZ) </t>
        </is>
      </c>
    </row>
    <row r="59" ht="18" customHeight="1">
      <c r="A59" s="40" t="inlineStr">
        <is>
          <t>5002681-95.2025.8.24.0078</t>
        </is>
      </c>
      <c r="B59" s="40" t="inlineStr">
        <is>
          <t>Outras</t>
        </is>
      </c>
      <c r="C59" s="41" t="n"/>
      <c r="D59" s="41" t="inlineStr">
        <is>
          <t>Renata Francisco Becker</t>
        </is>
      </c>
      <c r="E59" s="44" t="n">
        <v>45849</v>
      </c>
      <c r="F59" s="41" t="inlineStr">
        <is>
          <t>Vara</t>
        </is>
      </c>
      <c r="G59" s="41" t="n"/>
      <c r="I59" s="41" t="inlineStr"/>
      <c r="J59" s="41" t="inlineStr">
        <is>
          <t>Evento</t>
        </is>
      </c>
      <c r="K59" s="44" t="n">
        <v>46031</v>
      </c>
      <c r="L59" s="41" t="inlineStr">
        <is>
          <t>Marelize Controladoria</t>
        </is>
      </c>
      <c r="M59" s="40" t="inlineStr">
        <is>
          <t>Cumprido</t>
        </is>
      </c>
      <c r="N59" s="44" t="n">
        <v>46031</v>
      </c>
      <c r="O59" s="41" t="inlineStr">
        <is>
          <t>Entrevista com Nathalia - Jessica</t>
        </is>
      </c>
    </row>
    <row r="60" ht="18" customHeight="1">
      <c r="A60" s="40" t="inlineStr">
        <is>
          <t>5100017-65.2025.8.24.0930</t>
        </is>
      </c>
      <c r="B60" s="40" t="inlineStr">
        <is>
          <t>Outras</t>
        </is>
      </c>
      <c r="C60" s="41" t="n"/>
      <c r="D60" s="41" t="inlineStr">
        <is>
          <t>Renata Francisco Becker</t>
        </is>
      </c>
      <c r="E60" s="44" t="n">
        <v>45905</v>
      </c>
      <c r="F60" s="41" t="inlineStr">
        <is>
          <t>Vara Estadual</t>
        </is>
      </c>
      <c r="G60" s="41" t="n"/>
      <c r="I60" s="41" t="inlineStr"/>
      <c r="J60" s="41" t="inlineStr">
        <is>
          <t>Evento</t>
        </is>
      </c>
      <c r="K60" s="44" t="n">
        <v>46031</v>
      </c>
      <c r="L60" s="41" t="inlineStr">
        <is>
          <t>Marelize Controladoria</t>
        </is>
      </c>
      <c r="M60" s="40" t="inlineStr">
        <is>
          <t>Cumprido</t>
        </is>
      </c>
      <c r="N60" s="44" t="n">
        <v>46031</v>
      </c>
      <c r="O60" s="41" t="inlineStr">
        <is>
          <t>Entrevista com Nathalia - Julia</t>
        </is>
      </c>
    </row>
    <row r="61" ht="18" customHeight="1">
      <c r="A61" s="40" t="inlineStr">
        <is>
          <t>0000958-45.2025.512.0003</t>
        </is>
      </c>
      <c r="B61" s="40" t="inlineStr">
        <is>
          <t>Outras</t>
        </is>
      </c>
      <c r="C61" s="41" t="n"/>
      <c r="D61" s="41" t="inlineStr">
        <is>
          <t xml:space="preserve">Lucas </t>
        </is>
      </c>
      <c r="E61" s="44" t="n">
        <v>45953</v>
      </c>
      <c r="F61" s="41" t="inlineStr">
        <is>
          <t>Vara do Trabalho</t>
        </is>
      </c>
      <c r="G61" s="41" t="n"/>
      <c r="I61" s="41" t="inlineStr"/>
      <c r="J61" s="41" t="inlineStr">
        <is>
          <t>Evento</t>
        </is>
      </c>
      <c r="K61" s="44" t="n">
        <v>46031</v>
      </c>
      <c r="L61" s="41" t="inlineStr">
        <is>
          <t>Marelize Controladoria</t>
        </is>
      </c>
      <c r="M61" s="40" t="inlineStr">
        <is>
          <t>Cumprido</t>
        </is>
      </c>
      <c r="N61" s="44" t="n">
        <v>46031</v>
      </c>
      <c r="O61" s="41" t="inlineStr">
        <is>
          <t>Consulta/Atendimento (Dhido)</t>
        </is>
      </c>
    </row>
    <row r="62" ht="18" customHeight="1">
      <c r="A62" s="40" t="inlineStr">
        <is>
          <t>5012877-07.2025.8.24.0020</t>
        </is>
      </c>
      <c r="B62" s="40" t="inlineStr">
        <is>
          <t>Outras</t>
        </is>
      </c>
      <c r="C62" s="41" t="n"/>
      <c r="D62" s="41" t="inlineStr">
        <is>
          <t>Pedro Victor</t>
        </is>
      </c>
      <c r="E62" s="44" t="n">
        <v>45862</v>
      </c>
      <c r="F62" s="41" t="inlineStr">
        <is>
          <t>Juízo do Juizado Especial Cível da Comarca de Criciúma</t>
        </is>
      </c>
      <c r="G62" s="41" t="n"/>
      <c r="I62" s="41" t="inlineStr">
        <is>
          <t>5030853-27.2025.8.24.0020</t>
        </is>
      </c>
      <c r="J62" s="41" t="inlineStr">
        <is>
          <t>Prazo</t>
        </is>
      </c>
      <c r="K62" s="44" t="n">
        <v>46034</v>
      </c>
      <c r="L62" s="41" t="inlineStr">
        <is>
          <t>Jessica</t>
        </is>
      </c>
      <c r="M62" s="40" t="inlineStr">
        <is>
          <t>Cumprido</t>
        </is>
      </c>
      <c r="N62" s="44" t="n">
        <v>46034</v>
      </c>
      <c r="O62" s="41" t="inlineStr">
        <is>
          <t>Agravo de Instrumento</t>
        </is>
      </c>
    </row>
    <row r="63" ht="18" customHeight="1">
      <c r="A63" s="40" t="inlineStr">
        <is>
          <t>00970636220251000000</t>
        </is>
      </c>
      <c r="B63" s="40" t="inlineStr">
        <is>
          <t>Outras</t>
        </is>
      </c>
      <c r="C63" s="41" t="n"/>
      <c r="D63" s="41" t="inlineStr">
        <is>
          <t>Pedro Victor</t>
        </is>
      </c>
      <c r="E63" s="44" t="n">
        <v>45723</v>
      </c>
      <c r="F63" s="41" t="inlineStr"/>
      <c r="G63" s="41" t="n"/>
      <c r="I63" s="41" t="inlineStr"/>
      <c r="J63" s="41" t="inlineStr">
        <is>
          <t>Prazo</t>
        </is>
      </c>
      <c r="K63" s="44" t="n">
        <v>46034</v>
      </c>
      <c r="L63" s="41" t="inlineStr">
        <is>
          <t>Julia</t>
        </is>
      </c>
      <c r="M63" s="40" t="inlineStr">
        <is>
          <t>Cumprido</t>
        </is>
      </c>
      <c r="N63" s="44" t="n">
        <v>46034</v>
      </c>
      <c r="O63" s="41" t="inlineStr">
        <is>
          <t>Analise de contrato</t>
        </is>
      </c>
    </row>
    <row r="64" ht="18" customHeight="1">
      <c r="A64" s="40" t="inlineStr">
        <is>
          <t>50035098120248240028</t>
        </is>
      </c>
      <c r="B64" s="40" t="inlineStr">
        <is>
          <t>Outras</t>
        </is>
      </c>
      <c r="C64" s="41" t="n"/>
      <c r="D64" s="41" t="inlineStr">
        <is>
          <t>Renata Francisco Becker</t>
        </is>
      </c>
      <c r="E64" s="44" t="n">
        <v>45464</v>
      </c>
      <c r="F64" s="41" t="inlineStr"/>
      <c r="G64" s="41" t="n"/>
      <c r="I64" s="41" t="inlineStr">
        <is>
          <t>5000966-52.2024.8.24.0078</t>
        </is>
      </c>
      <c r="J64" s="41" t="inlineStr">
        <is>
          <t>Prazo</t>
        </is>
      </c>
      <c r="K64" s="44" t="n">
        <v>46034</v>
      </c>
      <c r="L64" s="41" t="inlineStr">
        <is>
          <t xml:space="preserve">Alexia </t>
        </is>
      </c>
      <c r="M64" s="40" t="inlineStr">
        <is>
          <t>Cumprido</t>
        </is>
      </c>
      <c r="N64" s="44" t="n">
        <v>46034</v>
      </c>
      <c r="O64" s="41" t="inlineStr">
        <is>
          <t>Apelação - Improcende irmãos</t>
        </is>
      </c>
    </row>
    <row r="65" ht="18" customHeight="1">
      <c r="A65" s="40" t="inlineStr">
        <is>
          <t>5025747-21.2024.8.24.0020</t>
        </is>
      </c>
      <c r="B65" s="40" t="inlineStr">
        <is>
          <t>Outras</t>
        </is>
      </c>
      <c r="C65" s="41" t="n"/>
      <c r="D65" s="41" t="inlineStr">
        <is>
          <t>Renata Francisco Becker</t>
        </is>
      </c>
      <c r="E65" s="44" t="n">
        <v>45709</v>
      </c>
      <c r="F65" s="41" t="inlineStr">
        <is>
          <t>Vara Cível</t>
        </is>
      </c>
      <c r="G65" s="41" t="n"/>
      <c r="I65" s="41" t="inlineStr"/>
      <c r="J65" s="41" t="inlineStr">
        <is>
          <t>Prazo</t>
        </is>
      </c>
      <c r="K65" s="44" t="n">
        <v>46034</v>
      </c>
      <c r="L65" s="41" t="inlineStr">
        <is>
          <t xml:space="preserve">Lucas </t>
        </is>
      </c>
      <c r="M65" s="40" t="inlineStr">
        <is>
          <t>Cumprido</t>
        </is>
      </c>
      <c r="N65" s="44" t="n">
        <v>46034</v>
      </c>
      <c r="O65" s="41" t="inlineStr">
        <is>
          <t>Auditoria Trabalhista Expresso Tubarão</t>
        </is>
      </c>
    </row>
    <row r="66" ht="18" customHeight="1">
      <c r="A66" s="40" t="inlineStr">
        <is>
          <t>5033971-45.2024.8.24.0020</t>
        </is>
      </c>
      <c r="B66" s="40" t="inlineStr">
        <is>
          <t>Outras</t>
        </is>
      </c>
      <c r="C66" s="41" t="n"/>
      <c r="D66" s="41" t="inlineStr">
        <is>
          <t>Renata Francisco Becker</t>
        </is>
      </c>
      <c r="E66" s="44" t="n">
        <v>45554</v>
      </c>
      <c r="F66" s="41" t="inlineStr">
        <is>
          <t>Vara Cível</t>
        </is>
      </c>
      <c r="G66" s="41" t="n"/>
      <c r="I66" s="41" t="inlineStr"/>
      <c r="J66" s="41" t="inlineStr">
        <is>
          <t>Prazo</t>
        </is>
      </c>
      <c r="K66" s="44" t="n">
        <v>46034</v>
      </c>
      <c r="L66" s="41" t="inlineStr">
        <is>
          <t xml:space="preserve">Lucas </t>
        </is>
      </c>
      <c r="M66" s="40" t="inlineStr">
        <is>
          <t>Cumprido</t>
        </is>
      </c>
      <c r="N66" s="44" t="n">
        <v>46034</v>
      </c>
      <c r="O66" s="41" t="inlineStr">
        <is>
          <t>Auditoria Trabalhista Expresso Veneza</t>
        </is>
      </c>
    </row>
    <row r="67" ht="18" customHeight="1">
      <c r="A67" s="40" t="inlineStr">
        <is>
          <t>0301827-94.2017.8.24.0175</t>
        </is>
      </c>
      <c r="B67" s="40" t="inlineStr">
        <is>
          <t>Outras</t>
        </is>
      </c>
      <c r="C67" s="41" t="n"/>
      <c r="D67" s="41" t="inlineStr">
        <is>
          <t>Renata Francisco Becker</t>
        </is>
      </c>
      <c r="E67" s="44" t="n">
        <v>44701</v>
      </c>
      <c r="F67" s="41" t="inlineStr">
        <is>
          <t>5º Juizo Da Unidade Estadual De Direito Bancario</t>
        </is>
      </c>
      <c r="G67" s="41" t="n"/>
      <c r="I67" s="41" t="inlineStr"/>
      <c r="J67" s="41" t="inlineStr">
        <is>
          <t>Prazo</t>
        </is>
      </c>
      <c r="K67" s="44" t="n">
        <v>46034</v>
      </c>
      <c r="L67" s="41" t="inlineStr">
        <is>
          <t xml:space="preserve">Lucas </t>
        </is>
      </c>
      <c r="M67" s="40" t="inlineStr">
        <is>
          <t>Cumprido</t>
        </is>
      </c>
      <c r="N67" s="44" t="n">
        <v>46034</v>
      </c>
      <c r="O67" s="41" t="inlineStr">
        <is>
          <t>Confecção de carta trabalhista</t>
        </is>
      </c>
    </row>
    <row r="68" ht="18" customHeight="1">
      <c r="A68" s="40" t="inlineStr">
        <is>
          <t>5035736-77.2025.8.24.0000</t>
        </is>
      </c>
      <c r="B68" s="40" t="inlineStr">
        <is>
          <t>Outras</t>
        </is>
      </c>
      <c r="C68" s="41" t="n"/>
      <c r="D68" s="41" t="inlineStr">
        <is>
          <t>Renata Francisco Becker</t>
        </is>
      </c>
      <c r="E68" s="44" t="n">
        <v>45790</v>
      </c>
      <c r="F68" s="41" t="inlineStr">
        <is>
          <t>8ª Câmara de Direito Civil</t>
        </is>
      </c>
      <c r="G68" s="41" t="n"/>
      <c r="I68" s="41" t="inlineStr"/>
      <c r="J68" s="41" t="inlineStr">
        <is>
          <t>Prazo</t>
        </is>
      </c>
      <c r="K68" s="44" t="n">
        <v>46034</v>
      </c>
      <c r="L68" s="41" t="inlineStr">
        <is>
          <t>Julia</t>
        </is>
      </c>
      <c r="M68" s="40" t="inlineStr">
        <is>
          <t>Cumprido</t>
        </is>
      </c>
      <c r="N68" s="44" t="n">
        <v>46034</v>
      </c>
      <c r="O68" s="41" t="inlineStr">
        <is>
          <t>Contranotificação</t>
        </is>
      </c>
    </row>
    <row r="69" ht="18" customHeight="1">
      <c r="A69" s="40" t="inlineStr">
        <is>
          <t>5002233-41.2026.4.04.7204</t>
        </is>
      </c>
      <c r="B69" s="40" t="inlineStr">
        <is>
          <t>Outras</t>
        </is>
      </c>
      <c r="C69" s="41" t="n"/>
      <c r="D69" s="41" t="inlineStr">
        <is>
          <t>Marelize Controladoria</t>
        </is>
      </c>
      <c r="E69" s="44" t="n">
        <v>46086</v>
      </c>
      <c r="F69" s="41" t="inlineStr">
        <is>
          <t>Juízo Substituto da 9ª VF de Florianópolis</t>
        </is>
      </c>
      <c r="G69" s="41" t="n"/>
      <c r="I69" s="41" t="inlineStr">
        <is>
          <t>50142582320254047204</t>
        </is>
      </c>
      <c r="J69" s="41" t="inlineStr">
        <is>
          <t>Prazo</t>
        </is>
      </c>
      <c r="K69" s="44" t="n">
        <v>46034</v>
      </c>
      <c r="L69" s="41" t="inlineStr">
        <is>
          <t>Jessica</t>
        </is>
      </c>
      <c r="M69" s="40" t="inlineStr">
        <is>
          <t>Cumprido</t>
        </is>
      </c>
      <c r="N69" s="44" t="n">
        <v>46034</v>
      </c>
      <c r="O69" s="41" t="inlineStr">
        <is>
          <t xml:space="preserve">Emendar a inicial MS </t>
        </is>
      </c>
    </row>
    <row r="70" ht="18" customHeight="1">
      <c r="A70" s="40" t="inlineStr">
        <is>
          <t>50022017320258240028</t>
        </is>
      </c>
      <c r="B70" s="40" t="inlineStr">
        <is>
          <t>Outras</t>
        </is>
      </c>
      <c r="C70" s="41" t="n"/>
      <c r="D70" s="41" t="inlineStr">
        <is>
          <t>Pedro Victor</t>
        </is>
      </c>
      <c r="E70" s="44" t="n">
        <v>45782</v>
      </c>
      <c r="F70" s="41" t="inlineStr">
        <is>
          <t>Juízo da Vara Criminal da Comarca de Içara</t>
        </is>
      </c>
      <c r="G70" s="41" t="n"/>
      <c r="I70" s="41" t="inlineStr">
        <is>
          <t>0003005-61.2025.8.16.0154</t>
        </is>
      </c>
      <c r="J70" s="41" t="inlineStr">
        <is>
          <t>Prazo</t>
        </is>
      </c>
      <c r="K70" s="44" t="n">
        <v>46034</v>
      </c>
      <c r="L70" s="41" t="inlineStr">
        <is>
          <t>Renata Francisco Becker</t>
        </is>
      </c>
      <c r="M70" s="40" t="inlineStr">
        <is>
          <t>Cumprido</t>
        </is>
      </c>
      <c r="N70" s="44" t="n">
        <v>46034</v>
      </c>
      <c r="O70" s="41" t="inlineStr">
        <is>
          <t>Prazo</t>
        </is>
      </c>
    </row>
    <row r="71" ht="18" customHeight="1">
      <c r="A71" s="40" t="inlineStr">
        <is>
          <t>1192002-34.2024.8.26.0100</t>
        </is>
      </c>
      <c r="B71" s="40" t="inlineStr">
        <is>
          <t>Outras</t>
        </is>
      </c>
      <c r="C71" s="41" t="n"/>
      <c r="D71" s="41" t="inlineStr">
        <is>
          <t>Pedro Victor</t>
        </is>
      </c>
      <c r="E71" s="44" t="n">
        <v>45839</v>
      </c>
      <c r="F71" s="41" t="inlineStr">
        <is>
          <t>Falências</t>
        </is>
      </c>
      <c r="G71" s="41" t="n"/>
      <c r="I71" s="41" t="inlineStr">
        <is>
          <t>5004094-23.2023.8.24.0076</t>
        </is>
      </c>
      <c r="J71" s="41" t="inlineStr">
        <is>
          <t>Prazo</t>
        </is>
      </c>
      <c r="K71" s="44" t="n">
        <v>46034</v>
      </c>
      <c r="L71" s="41" t="inlineStr">
        <is>
          <t>Renata Francisco Becker</t>
        </is>
      </c>
      <c r="M71" s="40" t="inlineStr">
        <is>
          <t>Cumprido</t>
        </is>
      </c>
      <c r="N71" s="44" t="n">
        <v>46034</v>
      </c>
      <c r="O71" s="41" t="inlineStr">
        <is>
          <t xml:space="preserve">prazo </t>
        </is>
      </c>
    </row>
    <row r="72" ht="18" customHeight="1">
      <c r="A72" s="40" t="inlineStr">
        <is>
          <t>5004199-49.2020.4.04.7204</t>
        </is>
      </c>
      <c r="B72" s="40" t="inlineStr">
        <is>
          <t>Outras</t>
        </is>
      </c>
      <c r="C72" s="41" t="n"/>
      <c r="D72" s="41" t="inlineStr">
        <is>
          <t>Renata Francisco Becker</t>
        </is>
      </c>
      <c r="E72" s="44" t="n">
        <v>44805</v>
      </c>
      <c r="F72" s="41" t="inlineStr">
        <is>
          <t>Juízo Federal da 4ª VF de Criciúma</t>
        </is>
      </c>
      <c r="G72" s="41" t="n"/>
      <c r="I72" s="41" t="inlineStr">
        <is>
          <t>5000123-81.2025.8.24.0004</t>
        </is>
      </c>
      <c r="J72" s="41" t="inlineStr">
        <is>
          <t>Prazo</t>
        </is>
      </c>
      <c r="K72" s="44" t="n">
        <v>46034</v>
      </c>
      <c r="L72" s="41" t="inlineStr">
        <is>
          <t>Renata Francisco Becker</t>
        </is>
      </c>
      <c r="M72" s="40" t="inlineStr">
        <is>
          <t>Cumprido</t>
        </is>
      </c>
      <c r="N72" s="44" t="n">
        <v>46034</v>
      </c>
      <c r="O72" s="41" t="inlineStr">
        <is>
          <t>Prazo (PF - 05.02)</t>
        </is>
      </c>
    </row>
    <row r="73" ht="18" customHeight="1">
      <c r="A73" s="40" t="inlineStr">
        <is>
          <t>5069978-85.2025.8.24.0930</t>
        </is>
      </c>
      <c r="B73" s="40" t="inlineStr">
        <is>
          <t>Outras</t>
        </is>
      </c>
      <c r="C73" s="41" t="n"/>
      <c r="D73" s="41" t="inlineStr">
        <is>
          <t>Renata Francisco Becker</t>
        </is>
      </c>
      <c r="E73" s="44" t="n">
        <v>45938</v>
      </c>
      <c r="F73" s="41" t="inlineStr">
        <is>
          <t>Vara Estadual de Direito Bancário</t>
        </is>
      </c>
      <c r="G73" s="41" t="n"/>
      <c r="I73" s="41" t="inlineStr">
        <is>
          <t>5006390-88.2025.8.24.0030</t>
        </is>
      </c>
      <c r="J73" s="41" t="inlineStr">
        <is>
          <t>Prazo</t>
        </is>
      </c>
      <c r="K73" s="44" t="n">
        <v>46034</v>
      </c>
      <c r="L73" s="41" t="inlineStr">
        <is>
          <t>Renata Francisco Becker</t>
        </is>
      </c>
      <c r="M73" s="40" t="inlineStr">
        <is>
          <t>Cumprido</t>
        </is>
      </c>
      <c r="N73" s="44" t="n">
        <v>46034</v>
      </c>
      <c r="O73" s="41" t="inlineStr">
        <is>
          <t xml:space="preserve">Prazo 26/01 (audiência) </t>
        </is>
      </c>
    </row>
    <row r="74" ht="18" customHeight="1">
      <c r="A74" s="40" t="inlineStr">
        <is>
          <t>5007675-95.2020.4.04.7204</t>
        </is>
      </c>
      <c r="B74" s="40" t="inlineStr">
        <is>
          <t>Outras</t>
        </is>
      </c>
      <c r="C74" s="41" t="n"/>
      <c r="D74" s="41" t="inlineStr">
        <is>
          <t>Renata Francisco Becker</t>
        </is>
      </c>
      <c r="E74" s="44" t="n">
        <v>44840</v>
      </c>
      <c r="F74" s="41" t="inlineStr"/>
      <c r="G74" s="41" t="n"/>
      <c r="I74" s="41" t="inlineStr">
        <is>
          <t>5011984-50.2024.8.24.0020</t>
        </is>
      </c>
      <c r="J74" s="41" t="inlineStr">
        <is>
          <t>Prazo</t>
        </is>
      </c>
      <c r="K74" s="44" t="n">
        <v>46034</v>
      </c>
      <c r="L74" s="41" t="inlineStr">
        <is>
          <t>Renata Francisco Becker</t>
        </is>
      </c>
      <c r="M74" s="40" t="inlineStr">
        <is>
          <t>Cumprido</t>
        </is>
      </c>
      <c r="N74" s="44" t="n">
        <v>46034</v>
      </c>
      <c r="O74" s="41" t="inlineStr">
        <is>
          <t>Prazo Rodrigo pizza</t>
        </is>
      </c>
    </row>
    <row r="75" ht="18" customHeight="1">
      <c r="A75" s="40" t="inlineStr">
        <is>
          <t>50235352720248240020</t>
        </is>
      </c>
      <c r="B75" s="40" t="inlineStr">
        <is>
          <t>Outras</t>
        </is>
      </c>
      <c r="C75" s="41" t="n"/>
      <c r="D75" s="41" t="inlineStr">
        <is>
          <t>Renata Francisco Becker</t>
        </is>
      </c>
      <c r="E75" s="44" t="n">
        <v>45588</v>
      </c>
      <c r="F75" s="41" t="inlineStr"/>
      <c r="G75" s="41" t="n"/>
      <c r="I75" s="41" t="inlineStr">
        <is>
          <t>5000966-52.2024.8.24.0078</t>
        </is>
      </c>
      <c r="J75" s="41" t="inlineStr">
        <is>
          <t>Tarefa</t>
        </is>
      </c>
      <c r="K75" s="44" t="n">
        <v>46034</v>
      </c>
      <c r="L75" s="41" t="inlineStr">
        <is>
          <t xml:space="preserve">Alexia </t>
        </is>
      </c>
      <c r="M75" s="40" t="inlineStr">
        <is>
          <t>Cumprido</t>
        </is>
      </c>
      <c r="N75" s="44" t="n">
        <v>46034</v>
      </c>
      <c r="O75" s="41" t="inlineStr">
        <is>
          <t>Elaboração</t>
        </is>
      </c>
    </row>
    <row r="76" ht="18" customHeight="1">
      <c r="A76" s="40" t="inlineStr">
        <is>
          <t>5001271-45.2026.8.24.0020</t>
        </is>
      </c>
      <c r="B76" s="40" t="inlineStr">
        <is>
          <t>Outras</t>
        </is>
      </c>
      <c r="C76" s="41" t="n"/>
      <c r="D76" s="41" t="inlineStr">
        <is>
          <t>Marelize Controladoria</t>
        </is>
      </c>
      <c r="E76" s="44" t="n">
        <v>46048</v>
      </c>
      <c r="F76" s="41" t="inlineStr">
        <is>
          <t>Juízo do Juizado Especial Cível da Comarca de Criciúma</t>
        </is>
      </c>
      <c r="G76" s="41" t="n"/>
      <c r="I76" s="41" t="inlineStr">
        <is>
          <t>5030853-27.2025.8.24.0020</t>
        </is>
      </c>
      <c r="J76" s="41" t="inlineStr">
        <is>
          <t>Tarefa</t>
        </is>
      </c>
      <c r="K76" s="44" t="n">
        <v>46034</v>
      </c>
      <c r="L76" s="41" t="inlineStr">
        <is>
          <t>Jessica</t>
        </is>
      </c>
      <c r="M76" s="40" t="inlineStr">
        <is>
          <t>Cumprido</t>
        </is>
      </c>
      <c r="N76" s="44" t="n">
        <v>46034</v>
      </c>
      <c r="O76" s="41" t="inlineStr">
        <is>
          <t>Elaboração</t>
        </is>
      </c>
    </row>
    <row r="77" ht="18" customHeight="1">
      <c r="A77" s="40" t="inlineStr">
        <is>
          <t>50041917220204047204</t>
        </is>
      </c>
      <c r="B77" s="40" t="inlineStr">
        <is>
          <t>Outras</t>
        </is>
      </c>
      <c r="C77" s="41" t="n"/>
      <c r="D77" s="41" t="inlineStr">
        <is>
          <t>Renata Francisco Becker</t>
        </is>
      </c>
      <c r="E77" s="44" t="n">
        <v>44812</v>
      </c>
      <c r="F77" s="41" t="inlineStr"/>
      <c r="G77" s="41" t="n"/>
      <c r="I77" s="41" t="inlineStr"/>
      <c r="J77" s="41" t="inlineStr">
        <is>
          <t>Tarefa</t>
        </is>
      </c>
      <c r="K77" s="44" t="n">
        <v>46034</v>
      </c>
      <c r="L77" s="41" t="inlineStr">
        <is>
          <t>Julia</t>
        </is>
      </c>
      <c r="M77" s="40" t="inlineStr">
        <is>
          <t>Cumprido</t>
        </is>
      </c>
      <c r="N77" s="44" t="n">
        <v>46034</v>
      </c>
      <c r="O77" s="41" t="inlineStr">
        <is>
          <t>Elaboração</t>
        </is>
      </c>
    </row>
    <row r="78" ht="18" customHeight="1">
      <c r="A78" s="40" t="inlineStr">
        <is>
          <t>5000537-54.2020.8.24.0166</t>
        </is>
      </c>
      <c r="B78" s="40" t="inlineStr">
        <is>
          <t>Outras</t>
        </is>
      </c>
      <c r="C78" s="41" t="n"/>
      <c r="D78" s="41" t="inlineStr">
        <is>
          <t>Renata Francisco Becker</t>
        </is>
      </c>
      <c r="E78" s="44" t="n">
        <v>44720</v>
      </c>
      <c r="F78" s="41" t="inlineStr">
        <is>
          <t>Juízo da Vara Única da Comarca de Forquilhinha</t>
        </is>
      </c>
      <c r="G78" s="41" t="n"/>
      <c r="I78" s="41" t="inlineStr">
        <is>
          <t>5011984-50.2024.8.24.0020</t>
        </is>
      </c>
      <c r="J78" s="41" t="inlineStr">
        <is>
          <t>Tarefa</t>
        </is>
      </c>
      <c r="K78" s="44" t="n">
        <v>46034</v>
      </c>
      <c r="L78" s="41" t="inlineStr">
        <is>
          <t>Renata Francisco Becker</t>
        </is>
      </c>
      <c r="M78" s="40" t="inlineStr">
        <is>
          <t>Cumprido</t>
        </is>
      </c>
      <c r="N78" s="44" t="n">
        <v>46034</v>
      </c>
      <c r="O78" s="41" t="inlineStr">
        <is>
          <t>Elaboração</t>
        </is>
      </c>
    </row>
    <row r="79" ht="18" customHeight="1">
      <c r="A79" s="40" t="inlineStr">
        <is>
          <t>5008261-61.2019.8.24.0064</t>
        </is>
      </c>
      <c r="B79" s="40" t="inlineStr">
        <is>
          <t>Outras</t>
        </is>
      </c>
      <c r="C79" s="41" t="n"/>
      <c r="D79" s="41" t="inlineStr">
        <is>
          <t>Renata Francisco Becker</t>
        </is>
      </c>
      <c r="E79" s="44" t="n">
        <v>45155</v>
      </c>
      <c r="F79" s="41" t="inlineStr">
        <is>
          <t>Juízo da 3ª Vara Cível da Comarca de São José</t>
        </is>
      </c>
      <c r="G79" s="41" t="n"/>
      <c r="I79" s="41" t="inlineStr">
        <is>
          <t>0003005-61.2025.8.16.0154</t>
        </is>
      </c>
      <c r="J79" s="41" t="inlineStr">
        <is>
          <t>Tarefa</t>
        </is>
      </c>
      <c r="K79" s="44" t="n">
        <v>46034</v>
      </c>
      <c r="L79" s="41" t="inlineStr">
        <is>
          <t>Renata Francisco Becker</t>
        </is>
      </c>
      <c r="M79" s="40" t="inlineStr">
        <is>
          <t>Cumprido</t>
        </is>
      </c>
      <c r="N79" s="44" t="n">
        <v>46034</v>
      </c>
      <c r="O79" s="41" t="inlineStr">
        <is>
          <t>Elaboração</t>
        </is>
      </c>
    </row>
    <row r="80" ht="18" customHeight="1">
      <c r="A80" s="40" t="inlineStr">
        <is>
          <t>5028872-60.2025.8.24.0020</t>
        </is>
      </c>
      <c r="B80" s="40" t="inlineStr">
        <is>
          <t>Outras</t>
        </is>
      </c>
      <c r="C80" s="41" t="n"/>
      <c r="D80" s="41" t="inlineStr">
        <is>
          <t>Renata Francisco Becker</t>
        </is>
      </c>
      <c r="E80" s="44" t="n">
        <v>46007</v>
      </c>
      <c r="F80" s="41" t="inlineStr"/>
      <c r="G80" s="41" t="n"/>
      <c r="I80" s="41" t="inlineStr"/>
      <c r="J80" s="41" t="inlineStr">
        <is>
          <t>Tarefa</t>
        </is>
      </c>
      <c r="K80" s="44" t="n">
        <v>46034</v>
      </c>
      <c r="L80" s="41" t="inlineStr">
        <is>
          <t xml:space="preserve">Lucas </t>
        </is>
      </c>
      <c r="M80" s="40" t="inlineStr">
        <is>
          <t>Cumprido</t>
        </is>
      </c>
      <c r="N80" s="44" t="n">
        <v>46034</v>
      </c>
      <c r="O80" s="41" t="inlineStr">
        <is>
          <t>Elaboração (Confecção de documetos)</t>
        </is>
      </c>
    </row>
    <row r="81" ht="18" customHeight="1">
      <c r="A81" s="40" t="n"/>
      <c r="B81" s="40" t="inlineStr">
        <is>
          <t>Outras</t>
        </is>
      </c>
      <c r="C81" s="41" t="n"/>
      <c r="D81" s="41" t="inlineStr">
        <is>
          <t>Marelize Controladoria</t>
        </is>
      </c>
      <c r="E81" s="44" t="n">
        <v>46100</v>
      </c>
      <c r="F81" s="41" t="n"/>
      <c r="G81" s="41" t="n"/>
      <c r="I81" s="41" t="inlineStr"/>
      <c r="J81" s="41" t="inlineStr">
        <is>
          <t>Tarefa</t>
        </is>
      </c>
      <c r="K81" s="44" t="n">
        <v>46034</v>
      </c>
      <c r="L81" s="41" t="inlineStr">
        <is>
          <t xml:space="preserve">Lucas </t>
        </is>
      </c>
      <c r="M81" s="40" t="inlineStr">
        <is>
          <t>Cumprido</t>
        </is>
      </c>
      <c r="N81" s="44" t="n">
        <v>46034</v>
      </c>
      <c r="O81" s="41" t="inlineStr">
        <is>
          <t>Elaboração (Confecção de documetos)</t>
        </is>
      </c>
    </row>
    <row r="82" ht="18" customHeight="1">
      <c r="A82" s="40" t="inlineStr">
        <is>
          <t>0117600-68.2006.5.12.0003</t>
        </is>
      </c>
      <c r="B82" s="40" t="inlineStr">
        <is>
          <t>Outras</t>
        </is>
      </c>
      <c r="C82" s="41" t="n"/>
      <c r="D82" s="41" t="inlineStr">
        <is>
          <t>Renata Francisco Becker</t>
        </is>
      </c>
      <c r="E82" s="44" t="n">
        <v>45986</v>
      </c>
      <c r="F82" s="41" t="inlineStr">
        <is>
          <t>Vara do Trabalho</t>
        </is>
      </c>
      <c r="G82" s="41" t="n"/>
      <c r="I82" s="41" t="inlineStr"/>
      <c r="J82" s="41" t="inlineStr">
        <is>
          <t>Tarefa</t>
        </is>
      </c>
      <c r="K82" s="44" t="n">
        <v>46034</v>
      </c>
      <c r="L82" s="41" t="inlineStr">
        <is>
          <t>Renata Francisco Becker</t>
        </is>
      </c>
      <c r="M82" s="40" t="inlineStr">
        <is>
          <t>Cumprido</t>
        </is>
      </c>
      <c r="N82" s="44" t="n">
        <v>46034</v>
      </c>
      <c r="O82" s="41" t="inlineStr">
        <is>
          <t>Revisão</t>
        </is>
      </c>
    </row>
    <row r="83" ht="18" customHeight="1">
      <c r="A83" s="40" t="inlineStr">
        <is>
          <t>50313185620248240930</t>
        </is>
      </c>
      <c r="B83" s="40" t="inlineStr">
        <is>
          <t>Outras</t>
        </is>
      </c>
      <c r="C83" s="41" t="n"/>
      <c r="D83" s="41" t="inlineStr">
        <is>
          <t>Renata Francisco Becker</t>
        </is>
      </c>
      <c r="E83" s="44" t="n">
        <v>45455</v>
      </c>
      <c r="F83" s="41" t="inlineStr"/>
      <c r="G83" s="41" t="n"/>
      <c r="I83" s="41" t="inlineStr"/>
      <c r="J83" s="41" t="inlineStr">
        <is>
          <t>Tarefa</t>
        </is>
      </c>
      <c r="K83" s="44" t="n">
        <v>46034</v>
      </c>
      <c r="L83" s="41" t="inlineStr">
        <is>
          <t>Renata Francisco Becker</t>
        </is>
      </c>
      <c r="M83" s="40" t="inlineStr">
        <is>
          <t>Cumprido</t>
        </is>
      </c>
      <c r="N83" s="44" t="n">
        <v>46034</v>
      </c>
      <c r="O83" s="41" t="inlineStr">
        <is>
          <t>Revisão</t>
        </is>
      </c>
    </row>
    <row r="84" ht="18" customHeight="1">
      <c r="A84" s="40" t="n"/>
      <c r="B84" s="40" t="inlineStr">
        <is>
          <t>Outras</t>
        </is>
      </c>
      <c r="C84" s="41" t="n"/>
      <c r="D84" s="41" t="inlineStr">
        <is>
          <t>Marelize Controladoria</t>
        </is>
      </c>
      <c r="E84" s="44" t="n">
        <v>46100</v>
      </c>
      <c r="F84" s="41" t="n"/>
      <c r="G84" s="41" t="n"/>
      <c r="I84" s="41" t="inlineStr"/>
      <c r="J84" s="41" t="inlineStr">
        <is>
          <t>Tarefa</t>
        </is>
      </c>
      <c r="K84" s="44" t="n">
        <v>46034</v>
      </c>
      <c r="L84" s="41" t="inlineStr">
        <is>
          <t>Renata Francisco Becker</t>
        </is>
      </c>
      <c r="M84" s="40" t="inlineStr">
        <is>
          <t>Cumprido</t>
        </is>
      </c>
      <c r="N84" s="44" t="n">
        <v>46034</v>
      </c>
      <c r="O84" s="41" t="inlineStr">
        <is>
          <t>Revisão</t>
        </is>
      </c>
    </row>
    <row r="85" ht="18" customHeight="1">
      <c r="A85" s="40" t="inlineStr">
        <is>
          <t>0000148-36.2026.5.12.0003</t>
        </is>
      </c>
      <c r="B85" s="40" t="inlineStr">
        <is>
          <t>Outras</t>
        </is>
      </c>
      <c r="C85" s="41" t="n"/>
      <c r="D85" s="41" t="inlineStr">
        <is>
          <t>Luci</t>
        </is>
      </c>
      <c r="E85" s="44" t="n">
        <v>45742</v>
      </c>
      <c r="F85" s="41" t="inlineStr"/>
      <c r="G85" s="41" t="n"/>
      <c r="I85" s="41" t="inlineStr"/>
      <c r="J85" s="41" t="inlineStr">
        <is>
          <t>Tarefa</t>
        </is>
      </c>
      <c r="K85" s="44" t="n">
        <v>46034</v>
      </c>
      <c r="L85" s="41" t="inlineStr">
        <is>
          <t>Jessica</t>
        </is>
      </c>
      <c r="M85" s="40" t="inlineStr">
        <is>
          <t>Cumprido</t>
        </is>
      </c>
      <c r="N85" s="44" t="n">
        <v>46034</v>
      </c>
      <c r="O85" s="41" t="inlineStr">
        <is>
          <t>24/11/2025 - EMITIR GUIAS TRANSAÇÃO SIDNEI - portal Regularize - enviar até dia 27 de cada mês</t>
        </is>
      </c>
    </row>
    <row r="86" ht="18" customHeight="1">
      <c r="A86" s="40" t="inlineStr">
        <is>
          <t>5023389-83.2024.8.24.0020</t>
        </is>
      </c>
      <c r="B86" s="40" t="inlineStr">
        <is>
          <t>Outras</t>
        </is>
      </c>
      <c r="C86" s="41" t="n"/>
      <c r="D86" s="41" t="inlineStr">
        <is>
          <t>Pedro Victor</t>
        </is>
      </c>
      <c r="E86" s="44" t="n">
        <v>46100</v>
      </c>
      <c r="F86" s="41" t="inlineStr">
        <is>
          <t>Juízo da Vara Regional de Garantias da Comarca de Criciúma</t>
        </is>
      </c>
      <c r="G86" s="41" t="n"/>
      <c r="I86" s="41" t="inlineStr"/>
      <c r="J86" s="41" t="inlineStr">
        <is>
          <t>Tarefa</t>
        </is>
      </c>
      <c r="K86" s="44" t="n">
        <v>46034</v>
      </c>
      <c r="L86" s="41" t="inlineStr">
        <is>
          <t>Pedro Victor</t>
        </is>
      </c>
      <c r="M86" s="40" t="inlineStr">
        <is>
          <t>Cumprido</t>
        </is>
      </c>
      <c r="N86" s="44" t="n">
        <v>46034</v>
      </c>
      <c r="O86" s="41" t="inlineStr">
        <is>
          <t xml:space="preserve">Analisar a ação de demarcação de terra, com pedido de tutela para nao haver dano à obra do imóvel </t>
        </is>
      </c>
    </row>
    <row r="87" ht="18" customHeight="1">
      <c r="A87" s="40" t="inlineStr">
        <is>
          <t>0323800-69.2005.5.12.0027</t>
        </is>
      </c>
      <c r="B87" s="40" t="inlineStr">
        <is>
          <t>Outras</t>
        </is>
      </c>
      <c r="C87" s="41" t="n"/>
      <c r="D87" s="41" t="inlineStr">
        <is>
          <t>Renata Francisco Becker</t>
        </is>
      </c>
      <c r="E87" s="44" t="n">
        <v>45930</v>
      </c>
      <c r="F87" s="41" t="inlineStr"/>
      <c r="G87" s="41" t="n"/>
      <c r="I87" s="41" t="inlineStr">
        <is>
          <t>5005212-03.2026.8.24.0020</t>
        </is>
      </c>
      <c r="J87" s="41" t="inlineStr">
        <is>
          <t>Tarefa</t>
        </is>
      </c>
      <c r="K87" s="44" t="n">
        <v>46034</v>
      </c>
      <c r="L87" s="41" t="inlineStr">
        <is>
          <t>Julia</t>
        </is>
      </c>
      <c r="M87" s="40" t="inlineStr">
        <is>
          <t>Cumprido</t>
        </is>
      </c>
      <c r="N87" s="44" t="n">
        <v>46034</v>
      </c>
      <c r="O87" s="41" t="inlineStr">
        <is>
          <t>Cobrança - Julia, seguir nosso pop de cobrança</t>
        </is>
      </c>
    </row>
    <row r="88" ht="18" customHeight="1">
      <c r="A88" s="40" t="inlineStr">
        <is>
          <t>5031729-60.2025.4.03.0000</t>
        </is>
      </c>
      <c r="B88" s="40" t="inlineStr">
        <is>
          <t>Outras</t>
        </is>
      </c>
      <c r="C88" s="41" t="n"/>
      <c r="D88" s="41" t="inlineStr">
        <is>
          <t>Jessica</t>
        </is>
      </c>
      <c r="E88" s="44" t="n">
        <v>45987</v>
      </c>
      <c r="F88" s="41" t="inlineStr"/>
      <c r="G88" s="41" t="n"/>
      <c r="I88" s="41" t="inlineStr"/>
      <c r="J88" s="41" t="inlineStr">
        <is>
          <t>Tarefa</t>
        </is>
      </c>
      <c r="K88" s="44" t="n">
        <v>46034</v>
      </c>
      <c r="L88" s="41" t="inlineStr">
        <is>
          <t>Renata Francisco Becker</t>
        </is>
      </c>
      <c r="M88" s="40" t="inlineStr">
        <is>
          <t>Cumprido</t>
        </is>
      </c>
      <c r="N88" s="44" t="n">
        <v>46034</v>
      </c>
      <c r="O88" s="41" t="inlineStr">
        <is>
          <t>Contrato aluguel lahoa</t>
        </is>
      </c>
    </row>
    <row r="89" ht="18" customHeight="1">
      <c r="A89" s="40" t="inlineStr">
        <is>
          <t>50116018620258240004</t>
        </is>
      </c>
      <c r="B89" s="40" t="inlineStr">
        <is>
          <t>Outras</t>
        </is>
      </c>
      <c r="C89" s="41" t="n"/>
      <c r="D89" s="41" t="inlineStr">
        <is>
          <t>Renata Francisco Becker</t>
        </is>
      </c>
      <c r="E89" s="44" t="n">
        <v>45883</v>
      </c>
      <c r="F89" s="41" t="inlineStr">
        <is>
          <t>3° Vara Civel</t>
        </is>
      </c>
      <c r="G89" s="41" t="n"/>
      <c r="I89" s="41" t="inlineStr">
        <is>
          <t>5003445-90.2025.8.24.0075</t>
        </is>
      </c>
      <c r="J89" s="41" t="inlineStr">
        <is>
          <t>Tarefa</t>
        </is>
      </c>
      <c r="K89" s="44" t="n">
        <v>46034</v>
      </c>
      <c r="L89" s="41" t="inlineStr">
        <is>
          <t>Marelize Controladoria</t>
        </is>
      </c>
      <c r="M89" s="40" t="inlineStr">
        <is>
          <t>Cumprido</t>
        </is>
      </c>
      <c r="N89" s="44" t="n">
        <v>46034</v>
      </c>
      <c r="O89" s="41" t="inlineStr">
        <is>
          <t>Controler, cadastrar o processo 5003445-90.2025.8.24.0075 no astrea, fomos nomeados. E, distribuir para apresentaçaõ de contestaçaõ, prazo 28.01.
gratidao</t>
        </is>
      </c>
    </row>
    <row r="90" ht="18" customHeight="1">
      <c r="A90" s="40" t="inlineStr">
        <is>
          <t>50127492120248240020</t>
        </is>
      </c>
      <c r="B90" s="40" t="inlineStr">
        <is>
          <t>Outras</t>
        </is>
      </c>
      <c r="C90" s="41" t="n"/>
      <c r="D90" s="41" t="inlineStr">
        <is>
          <t>Renata Francisco Becker</t>
        </is>
      </c>
      <c r="E90" s="44" t="n">
        <v>45433</v>
      </c>
      <c r="F90" s="41" t="inlineStr"/>
      <c r="G90" s="41" t="n"/>
      <c r="I90" s="41" t="inlineStr"/>
      <c r="J90" s="41" t="inlineStr">
        <is>
          <t>Tarefa</t>
        </is>
      </c>
      <c r="K90" s="44" t="n">
        <v>46034</v>
      </c>
      <c r="L90" s="41" t="inlineStr">
        <is>
          <t>Jessica</t>
        </is>
      </c>
      <c r="M90" s="40" t="inlineStr">
        <is>
          <t>Cumprido</t>
        </is>
      </c>
      <c r="N90" s="44" t="n">
        <v>46034</v>
      </c>
      <c r="O90" s="41" t="inlineStr">
        <is>
          <t>Elaboração de clausula tributária</t>
        </is>
      </c>
    </row>
    <row r="91" ht="18" customHeight="1">
      <c r="A91" s="40" t="inlineStr">
        <is>
          <t>5031701-14.2025.8.24.0020</t>
        </is>
      </c>
      <c r="B91" s="40" t="inlineStr">
        <is>
          <t>Outras</t>
        </is>
      </c>
      <c r="C91" s="41" t="n"/>
      <c r="D91" s="41" t="inlineStr">
        <is>
          <t>Renata Francisco Becker</t>
        </is>
      </c>
      <c r="E91" s="44" t="n">
        <v>45931</v>
      </c>
      <c r="F91" s="41" t="inlineStr">
        <is>
          <t>Juízo do Juizado Especial Cível da Comarca de Criciúma</t>
        </is>
      </c>
      <c r="G91" s="41" t="n"/>
      <c r="I91" s="41" t="inlineStr"/>
      <c r="J91" s="41" t="inlineStr">
        <is>
          <t>Tarefa</t>
        </is>
      </c>
      <c r="K91" s="44" t="n">
        <v>46034</v>
      </c>
      <c r="L91" s="41" t="inlineStr">
        <is>
          <t>Renata Francisco Becker</t>
        </is>
      </c>
      <c r="M91" s="40" t="inlineStr">
        <is>
          <t>Cumprido</t>
        </is>
      </c>
      <c r="N91" s="44" t="n">
        <v>46034</v>
      </c>
      <c r="O91" s="41" t="inlineStr">
        <is>
          <t>Juntar renuncia recapadora.</t>
        </is>
      </c>
    </row>
    <row r="92" ht="18" customHeight="1">
      <c r="A92" s="40" t="inlineStr">
        <is>
          <t>5025749-54.2025.8.24.0020</t>
        </is>
      </c>
      <c r="B92" s="40" t="inlineStr">
        <is>
          <t>Outras</t>
        </is>
      </c>
      <c r="C92" s="41" t="n"/>
      <c r="D92" s="41" t="inlineStr">
        <is>
          <t>Renata Francisco Becker</t>
        </is>
      </c>
      <c r="E92" s="44" t="n">
        <v>45946</v>
      </c>
      <c r="F92" s="41" t="inlineStr">
        <is>
          <t>1° vara</t>
        </is>
      </c>
      <c r="G92" s="41" t="n"/>
      <c r="I92" s="41" t="inlineStr"/>
      <c r="J92" s="41" t="inlineStr">
        <is>
          <t>Tarefa</t>
        </is>
      </c>
      <c r="K92" s="44" t="n">
        <v>46034</v>
      </c>
      <c r="L92" s="41" t="inlineStr">
        <is>
          <t>Renata Francisco Becker</t>
        </is>
      </c>
      <c r="M92" s="40" t="inlineStr">
        <is>
          <t>Cumprido</t>
        </is>
      </c>
      <c r="N92" s="44" t="n">
        <v>46034</v>
      </c>
      <c r="O92" s="41" t="inlineStr">
        <is>
          <t xml:space="preserve">Revisão </t>
        </is>
      </c>
    </row>
    <row r="93" ht="18" customHeight="1">
      <c r="A93" s="40" t="inlineStr">
        <is>
          <t>5000454-41.2025.8.24.0076</t>
        </is>
      </c>
      <c r="B93" s="40" t="inlineStr">
        <is>
          <t>Outras</t>
        </is>
      </c>
      <c r="C93" s="41" t="n"/>
      <c r="D93" s="41" t="inlineStr">
        <is>
          <t>Renata Francisco Becker</t>
        </is>
      </c>
      <c r="E93" s="44" t="n">
        <v>45716</v>
      </c>
      <c r="F93" s="41" t="inlineStr">
        <is>
          <t>Juizo da vara unica</t>
        </is>
      </c>
      <c r="G93" s="41" t="n"/>
      <c r="I93" s="41" t="inlineStr"/>
      <c r="J93" s="41" t="inlineStr">
        <is>
          <t>Evento</t>
        </is>
      </c>
      <c r="K93" s="44" t="n">
        <v>46034</v>
      </c>
      <c r="L93" s="41" t="inlineStr">
        <is>
          <t>Marelize Controladoria</t>
        </is>
      </c>
      <c r="M93" s="40" t="inlineStr">
        <is>
          <t>Cumprido</t>
        </is>
      </c>
      <c r="N93" s="44" t="n">
        <v>46034</v>
      </c>
      <c r="O93" s="41" t="inlineStr">
        <is>
          <t>Entrevista com Nathalia - Alexia</t>
        </is>
      </c>
    </row>
    <row r="94" ht="18" customHeight="1">
      <c r="A94" s="40" t="inlineStr">
        <is>
          <t>0000198-62.2026.5.12.0003</t>
        </is>
      </c>
      <c r="B94" s="40" t="inlineStr">
        <is>
          <t>Outras</t>
        </is>
      </c>
      <c r="C94" s="41" t="n"/>
      <c r="D94" s="41" t="inlineStr">
        <is>
          <t>Marelize Controladoria</t>
        </is>
      </c>
      <c r="E94" s="44" t="n">
        <v>46086</v>
      </c>
      <c r="F94" s="41" t="inlineStr">
        <is>
          <t>CEJUSC-JT/Criciuma</t>
        </is>
      </c>
      <c r="G94" s="41" t="n"/>
      <c r="I94" s="41" t="inlineStr"/>
      <c r="J94" s="41" t="inlineStr">
        <is>
          <t>Evento</t>
        </is>
      </c>
      <c r="K94" s="44" t="n">
        <v>46034</v>
      </c>
      <c r="L94" s="41" t="inlineStr">
        <is>
          <t>Marelize Controladoria</t>
        </is>
      </c>
      <c r="M94" s="40" t="inlineStr">
        <is>
          <t>Cumprido</t>
        </is>
      </c>
      <c r="N94" s="44" t="n">
        <v>46034</v>
      </c>
      <c r="O94" s="41" t="inlineStr">
        <is>
          <t>Entrevista com Nathalia - Lucas</t>
        </is>
      </c>
    </row>
    <row r="95" ht="18" customHeight="1">
      <c r="A95" s="40" t="inlineStr">
        <is>
          <t>5038732-76.2025.8.24.0023</t>
        </is>
      </c>
      <c r="B95" s="40" t="inlineStr">
        <is>
          <t>Outras</t>
        </is>
      </c>
      <c r="C95" s="41" t="n"/>
      <c r="D95" s="41" t="inlineStr">
        <is>
          <t>Pedro Victor</t>
        </is>
      </c>
      <c r="E95" s="44" t="n">
        <v>45772</v>
      </c>
      <c r="F95" s="41" t="inlineStr">
        <is>
          <t>Fazenda Publica</t>
        </is>
      </c>
      <c r="G95" s="41" t="n"/>
      <c r="I95" s="41" t="inlineStr"/>
      <c r="J95" s="41" t="inlineStr">
        <is>
          <t>Evento</t>
        </is>
      </c>
      <c r="K95" s="44" t="n">
        <v>46034</v>
      </c>
      <c r="L95" s="41" t="inlineStr">
        <is>
          <t>Marelize Controladoria</t>
        </is>
      </c>
      <c r="M95" s="40" t="inlineStr">
        <is>
          <t>Cumprido</t>
        </is>
      </c>
      <c r="N95" s="44" t="n">
        <v>46034</v>
      </c>
      <c r="O95" s="41" t="inlineStr">
        <is>
          <t>Reunião Ex Marília</t>
        </is>
      </c>
    </row>
    <row r="96" ht="18" customHeight="1">
      <c r="A96" s="40" t="inlineStr">
        <is>
          <t>0000372-71.2026.5.12.0003</t>
        </is>
      </c>
      <c r="B96" s="40" t="inlineStr">
        <is>
          <t>Outras</t>
        </is>
      </c>
      <c r="C96" s="41" t="n"/>
      <c r="D96" s="41" t="inlineStr">
        <is>
          <t>Luci</t>
        </is>
      </c>
      <c r="E96" s="44" t="n">
        <v>46084</v>
      </c>
      <c r="F96" s="41" t="inlineStr">
        <is>
          <t>1</t>
        </is>
      </c>
      <c r="G96" s="41" t="n"/>
      <c r="I96" s="41" t="inlineStr">
        <is>
          <t>5002987-34.2025.8.24.0282</t>
        </is>
      </c>
      <c r="J96" s="41" t="inlineStr">
        <is>
          <t>Prazo</t>
        </is>
      </c>
      <c r="K96" s="44" t="n">
        <v>46035</v>
      </c>
      <c r="L96" s="41" t="inlineStr">
        <is>
          <t>Renata Francisco Becker</t>
        </is>
      </c>
      <c r="M96" s="40" t="inlineStr">
        <is>
          <t>Cumprido</t>
        </is>
      </c>
      <c r="N96" s="44" t="n">
        <v>46035</v>
      </c>
      <c r="O96" s="41" t="inlineStr">
        <is>
          <t>26/01 Prazo Colomboretroterra (crime)</t>
        </is>
      </c>
    </row>
    <row r="97" ht="18" customHeight="1">
      <c r="A97" s="40" t="n"/>
      <c r="B97" s="40" t="inlineStr">
        <is>
          <t>Outras</t>
        </is>
      </c>
      <c r="C97" s="41" t="n"/>
      <c r="D97" s="41" t="inlineStr">
        <is>
          <t>Pedro Victor</t>
        </is>
      </c>
      <c r="E97" s="44" t="n">
        <v>46048</v>
      </c>
      <c r="F97" s="41" t="n"/>
      <c r="G97" s="41" t="n"/>
      <c r="I97" s="41" t="inlineStr"/>
      <c r="J97" s="41" t="inlineStr">
        <is>
          <t>Prazo</t>
        </is>
      </c>
      <c r="K97" s="44" t="n">
        <v>46035</v>
      </c>
      <c r="L97" s="41" t="inlineStr">
        <is>
          <t>Renata Francisco Becker</t>
        </is>
      </c>
      <c r="M97" s="40" t="inlineStr">
        <is>
          <t>Cumprido</t>
        </is>
      </c>
      <c r="N97" s="44" t="n">
        <v>46035</v>
      </c>
      <c r="O97" s="41" t="inlineStr">
        <is>
          <t>Analisar contrato Ex. Marília</t>
        </is>
      </c>
    </row>
    <row r="98" ht="18" customHeight="1">
      <c r="A98" s="40" t="inlineStr">
        <is>
          <t>5011355-42.2025.8.24.0020</t>
        </is>
      </c>
      <c r="B98" s="40" t="inlineStr">
        <is>
          <t>Outras</t>
        </is>
      </c>
      <c r="C98" s="41" t="n"/>
      <c r="D98" s="41" t="inlineStr">
        <is>
          <t>Renata Francisco Becker</t>
        </is>
      </c>
      <c r="E98" s="44" t="n">
        <v>45806</v>
      </c>
      <c r="F98" s="41" t="inlineStr"/>
      <c r="G98" s="41" t="n"/>
      <c r="I98" s="41" t="inlineStr"/>
      <c r="J98" s="41" t="inlineStr">
        <is>
          <t>Prazo</t>
        </is>
      </c>
      <c r="K98" s="44" t="n">
        <v>46035</v>
      </c>
      <c r="L98" s="41" t="inlineStr">
        <is>
          <t>Renata Francisco Becker</t>
        </is>
      </c>
      <c r="M98" s="40" t="inlineStr">
        <is>
          <t>Cumprido</t>
        </is>
      </c>
      <c r="N98" s="44" t="n">
        <v>46035</v>
      </c>
      <c r="O98" s="41" t="inlineStr">
        <is>
          <t>Analise de contrato</t>
        </is>
      </c>
    </row>
    <row r="99" ht="18" customHeight="1">
      <c r="A99" s="40" t="inlineStr">
        <is>
          <t>5003082-74.2025.8.24.0020</t>
        </is>
      </c>
      <c r="B99" s="40" t="inlineStr">
        <is>
          <t>Outras</t>
        </is>
      </c>
      <c r="C99" s="41" t="n"/>
      <c r="D99" s="41" t="inlineStr">
        <is>
          <t>Marelize Controladoria</t>
        </is>
      </c>
      <c r="E99" s="44" t="n">
        <v>46057</v>
      </c>
      <c r="F99" s="41" t="inlineStr">
        <is>
          <t>Juízo da 2ª Vara da Fazenda Pública da Comarca de Criciúma</t>
        </is>
      </c>
      <c r="G99" s="41" t="n"/>
      <c r="I99" s="41" t="inlineStr">
        <is>
          <t>5008146-31.2024.8.24.0075</t>
        </is>
      </c>
      <c r="J99" s="41" t="inlineStr">
        <is>
          <t>Prazo</t>
        </is>
      </c>
      <c r="K99" s="44" t="n">
        <v>46035</v>
      </c>
      <c r="L99" s="41" t="inlineStr">
        <is>
          <t>Renata Francisco Becker</t>
        </is>
      </c>
      <c r="M99" s="40" t="inlineStr">
        <is>
          <t>Cumprido</t>
        </is>
      </c>
      <c r="N99" s="44" t="n">
        <v>46035</v>
      </c>
      <c r="O99" s="41" t="inlineStr">
        <is>
          <t>Apelação nomeação. olhar</t>
        </is>
      </c>
    </row>
    <row r="100" ht="18" customHeight="1">
      <c r="A100" s="40" t="inlineStr">
        <is>
          <t>5012267-22.2019.4.04.7204</t>
        </is>
      </c>
      <c r="B100" s="40" t="inlineStr">
        <is>
          <t>Outras</t>
        </is>
      </c>
      <c r="C100" s="41" t="n"/>
      <c r="D100" s="41" t="inlineStr">
        <is>
          <t>Renata Francisco Becker</t>
        </is>
      </c>
      <c r="E100" s="44" t="n">
        <v>44719</v>
      </c>
      <c r="F100" s="41" t="inlineStr">
        <is>
          <t>Juízo Federal da 4ª VF de Criciúma</t>
        </is>
      </c>
      <c r="G100" s="41" t="n"/>
      <c r="I100" s="41" t="inlineStr"/>
      <c r="J100" s="41" t="inlineStr">
        <is>
          <t>Prazo</t>
        </is>
      </c>
      <c r="K100" s="44" t="n">
        <v>46035</v>
      </c>
      <c r="L100" s="41" t="inlineStr">
        <is>
          <t>Renata Francisco Becker</t>
        </is>
      </c>
      <c r="M100" s="40" t="inlineStr">
        <is>
          <t>Cumprido</t>
        </is>
      </c>
      <c r="N100" s="44" t="n">
        <v>46035</v>
      </c>
      <c r="O100" s="41" t="inlineStr">
        <is>
          <t xml:space="preserve">AÇÃO RESCISÓRIA CONTRATUAL </t>
        </is>
      </c>
    </row>
    <row r="101" ht="18" customHeight="1">
      <c r="A101" s="40" t="inlineStr">
        <is>
          <t>5002362-97.2024.8.24.0940</t>
        </is>
      </c>
      <c r="B101" s="40" t="inlineStr">
        <is>
          <t>Outras</t>
        </is>
      </c>
      <c r="C101" s="41" t="n"/>
      <c r="D101" s="41" t="inlineStr">
        <is>
          <t>Renata Francisco Becker</t>
        </is>
      </c>
      <c r="E101" s="44" t="n">
        <v>45754</v>
      </c>
      <c r="F101" s="41" t="inlineStr"/>
      <c r="G101" s="41" t="n"/>
      <c r="I101" s="41" t="inlineStr"/>
      <c r="J101" s="41" t="inlineStr">
        <is>
          <t>Prazo</t>
        </is>
      </c>
      <c r="K101" s="44" t="n">
        <v>46035</v>
      </c>
      <c r="L101" s="41" t="inlineStr">
        <is>
          <t>Julia</t>
        </is>
      </c>
      <c r="M101" s="40" t="inlineStr">
        <is>
          <t>Cumprido</t>
        </is>
      </c>
      <c r="N101" s="44" t="n">
        <v>46035</v>
      </c>
      <c r="O101" s="41" t="inlineStr">
        <is>
          <t xml:space="preserve">Elaborar declaração Claudio </t>
        </is>
      </c>
    </row>
    <row r="102" ht="18" customHeight="1">
      <c r="A102" s="40" t="inlineStr">
        <is>
          <t>0902225-79.2016.8.24.0028</t>
        </is>
      </c>
      <c r="B102" s="40" t="inlineStr">
        <is>
          <t>Outras</t>
        </is>
      </c>
      <c r="C102" s="41" t="n"/>
      <c r="D102" s="41" t="inlineStr">
        <is>
          <t>Pedro Victor</t>
        </is>
      </c>
      <c r="E102" s="44" t="n">
        <v>45709</v>
      </c>
      <c r="F102" s="41" t="inlineStr">
        <is>
          <t>Juízo da 2ª Vara Cível da Comarca de Içara</t>
        </is>
      </c>
      <c r="G102" s="41" t="n"/>
      <c r="I102" s="41" t="inlineStr">
        <is>
          <t>5028872-60.2025.8.24.0020</t>
        </is>
      </c>
      <c r="J102" s="41" t="inlineStr">
        <is>
          <t>Prazo</t>
        </is>
      </c>
      <c r="K102" s="44" t="n">
        <v>46035</v>
      </c>
      <c r="L102" s="41" t="inlineStr">
        <is>
          <t>Jessica</t>
        </is>
      </c>
      <c r="M102" s="40" t="inlineStr">
        <is>
          <t>Cumprido</t>
        </is>
      </c>
      <c r="N102" s="44" t="n">
        <v>46035</v>
      </c>
      <c r="O102" s="41" t="inlineStr">
        <is>
          <t>Juntar procuração</t>
        </is>
      </c>
    </row>
    <row r="103" ht="18" customHeight="1">
      <c r="A103" s="40" t="inlineStr">
        <is>
          <t>5013224-66.2026.8.24.0000</t>
        </is>
      </c>
      <c r="B103" s="40" t="inlineStr">
        <is>
          <t>Outras</t>
        </is>
      </c>
      <c r="C103" s="41" t="n"/>
      <c r="D103" s="41" t="inlineStr">
        <is>
          <t>Marelize Controladoria</t>
        </is>
      </c>
      <c r="E103" s="44" t="n">
        <v>46073</v>
      </c>
      <c r="F103" s="41" t="inlineStr">
        <is>
          <t>Gab. 03 - 5ª Câmara de Direito Comercial</t>
        </is>
      </c>
      <c r="G103" s="41" t="n"/>
      <c r="I103" s="41" t="inlineStr"/>
      <c r="J103" s="41" t="inlineStr">
        <is>
          <t>Prazo</t>
        </is>
      </c>
      <c r="K103" s="44" t="n">
        <v>46035</v>
      </c>
      <c r="L103" s="41" t="inlineStr">
        <is>
          <t>Julia</t>
        </is>
      </c>
      <c r="M103" s="40" t="inlineStr">
        <is>
          <t>Cumprido</t>
        </is>
      </c>
      <c r="N103" s="44" t="n">
        <v>46035</v>
      </c>
      <c r="O103" s="41" t="inlineStr">
        <is>
          <t>Notificação de devolução de valores - Mega Máquinas</t>
        </is>
      </c>
    </row>
    <row r="104" ht="18" customHeight="1">
      <c r="A104" s="40" t="inlineStr">
        <is>
          <t>4026378-08.2026.8.26.0100</t>
        </is>
      </c>
      <c r="B104" s="40" t="inlineStr">
        <is>
          <t>Outras</t>
        </is>
      </c>
      <c r="C104" s="41" t="n"/>
      <c r="D104" s="41" t="inlineStr">
        <is>
          <t>Marelize Controladoria</t>
        </is>
      </c>
      <c r="E104" s="44" t="n">
        <v>46076</v>
      </c>
      <c r="F104" s="41" t="inlineStr">
        <is>
          <t>Juízo Titular I - 1ª Vara de Falências e Recuperações Judiciais - Foro Central Cível</t>
        </is>
      </c>
      <c r="G104" s="41" t="n"/>
      <c r="I104" s="41" t="inlineStr"/>
      <c r="J104" s="41" t="inlineStr">
        <is>
          <t>Prazo</t>
        </is>
      </c>
      <c r="K104" s="44" t="n">
        <v>46035</v>
      </c>
      <c r="L104" s="41" t="inlineStr">
        <is>
          <t xml:space="preserve">Lucas </t>
        </is>
      </c>
      <c r="M104" s="40" t="inlineStr">
        <is>
          <t>Cumprido</t>
        </is>
      </c>
      <c r="N104" s="44" t="n">
        <v>46035</v>
      </c>
      <c r="O104" s="41" t="inlineStr">
        <is>
          <t>Prazo</t>
        </is>
      </c>
    </row>
    <row r="105" ht="18" customHeight="1">
      <c r="A105" s="40" t="inlineStr">
        <is>
          <t>5011355-42.2025.8.24.0020</t>
        </is>
      </c>
      <c r="B105" s="40" t="inlineStr">
        <is>
          <t>Outras</t>
        </is>
      </c>
      <c r="C105" s="41" t="n"/>
      <c r="D105" s="41" t="inlineStr">
        <is>
          <t>Renata Francisco Becker</t>
        </is>
      </c>
      <c r="E105" s="44" t="n">
        <v>45806</v>
      </c>
      <c r="F105" s="41" t="inlineStr">
        <is>
          <t>Juizado Especial Cível</t>
        </is>
      </c>
      <c r="G105" s="41" t="n"/>
      <c r="I105" s="41" t="inlineStr">
        <is>
          <t>5002869-18.2025.8.24.0166</t>
        </is>
      </c>
      <c r="J105" s="41" t="inlineStr">
        <is>
          <t>Prazo</t>
        </is>
      </c>
      <c r="K105" s="44" t="n">
        <v>46035</v>
      </c>
      <c r="L105" s="41" t="inlineStr">
        <is>
          <t>Jessica</t>
        </is>
      </c>
      <c r="M105" s="40" t="inlineStr">
        <is>
          <t>Cumprido</t>
        </is>
      </c>
      <c r="N105" s="44" t="n">
        <v>46035</v>
      </c>
      <c r="O105" s="41" t="inlineStr">
        <is>
          <t>Prazo</t>
        </is>
      </c>
    </row>
    <row r="106" ht="18" customHeight="1">
      <c r="A106" s="40" t="inlineStr">
        <is>
          <t>5011434-47.2026.8.24.0000</t>
        </is>
      </c>
      <c r="B106" s="40" t="inlineStr">
        <is>
          <t>Outras</t>
        </is>
      </c>
      <c r="C106" s="41" t="n"/>
      <c r="D106" s="41" t="inlineStr">
        <is>
          <t>Marelize Controladoria</t>
        </is>
      </c>
      <c r="E106" s="44" t="n">
        <v>46071</v>
      </c>
      <c r="F106" s="41" t="inlineStr">
        <is>
          <t>Gab. 04 - 2ª Câmara de Direito Público</t>
        </is>
      </c>
      <c r="G106" s="41" t="n"/>
      <c r="I106" s="41" t="inlineStr">
        <is>
          <t>03063527020158240020</t>
        </is>
      </c>
      <c r="J106" s="41" t="inlineStr">
        <is>
          <t>Prazo</t>
        </is>
      </c>
      <c r="K106" s="44" t="n">
        <v>46035</v>
      </c>
      <c r="L106" s="41" t="inlineStr">
        <is>
          <t>Marelize Controladoria</t>
        </is>
      </c>
      <c r="M106" s="40" t="inlineStr">
        <is>
          <t>Cumprido</t>
        </is>
      </c>
      <c r="N106" s="44" t="n">
        <v>46035</v>
      </c>
      <c r="O106" s="41" t="inlineStr">
        <is>
          <t>Prazo urgente</t>
        </is>
      </c>
    </row>
    <row r="107" ht="18" customHeight="1">
      <c r="A107" s="40" t="inlineStr">
        <is>
          <t>50067073820238240004</t>
        </is>
      </c>
      <c r="B107" s="40" t="inlineStr">
        <is>
          <t>Outras</t>
        </is>
      </c>
      <c r="C107" s="41" t="n"/>
      <c r="D107" s="41" t="inlineStr">
        <is>
          <t>Renata Francisco Becker</t>
        </is>
      </c>
      <c r="E107" s="44" t="n">
        <v>45755</v>
      </c>
      <c r="F107" s="41" t="inlineStr">
        <is>
          <t>Vara Cível</t>
        </is>
      </c>
      <c r="G107" s="41" t="n"/>
      <c r="I107" s="41" t="inlineStr">
        <is>
          <t>50127492120248240020</t>
        </is>
      </c>
      <c r="J107" s="41" t="inlineStr">
        <is>
          <t>Prazo</t>
        </is>
      </c>
      <c r="K107" s="44" t="n">
        <v>46035</v>
      </c>
      <c r="L107" s="41" t="inlineStr">
        <is>
          <t xml:space="preserve">Alexia </t>
        </is>
      </c>
      <c r="M107" s="40" t="inlineStr">
        <is>
          <t>Cumprido</t>
        </is>
      </c>
      <c r="N107" s="44" t="n">
        <v>46035</v>
      </c>
      <c r="O107" s="41" t="inlineStr">
        <is>
          <t>Réplica Filip Faust</t>
        </is>
      </c>
    </row>
    <row r="108" ht="18" customHeight="1">
      <c r="A108" s="40" t="inlineStr">
        <is>
          <t>5018665-36.2024.8.24.0020</t>
        </is>
      </c>
      <c r="B108" s="40" t="inlineStr">
        <is>
          <t>Outras</t>
        </is>
      </c>
      <c r="C108" s="41" t="n"/>
      <c r="D108" s="41" t="inlineStr">
        <is>
          <t>Renata Francisco Becker</t>
        </is>
      </c>
      <c r="E108" s="44" t="n">
        <v>45804</v>
      </c>
      <c r="F108" s="41" t="inlineStr">
        <is>
          <t>Juizado Especial Cível</t>
        </is>
      </c>
      <c r="G108" s="41" t="n"/>
      <c r="I108" s="41" t="inlineStr">
        <is>
          <t>5009605-05.2025.8.24.0020</t>
        </is>
      </c>
      <c r="J108" s="41" t="inlineStr">
        <is>
          <t>Tarefa</t>
        </is>
      </c>
      <c r="K108" s="44" t="n">
        <v>46035</v>
      </c>
      <c r="L108" s="41" t="inlineStr">
        <is>
          <t>Julia</t>
        </is>
      </c>
      <c r="M108" s="40" t="inlineStr">
        <is>
          <t>Cumprido</t>
        </is>
      </c>
      <c r="N108" s="44" t="n">
        <v>46035</v>
      </c>
      <c r="O108" s="41" t="inlineStr">
        <is>
          <t>Elaboração</t>
        </is>
      </c>
    </row>
    <row r="109" ht="18" customHeight="1">
      <c r="A109" s="40" t="inlineStr">
        <is>
          <t>5010652-60.2020.4.04.7204</t>
        </is>
      </c>
      <c r="B109" s="40" t="inlineStr">
        <is>
          <t>Outras</t>
        </is>
      </c>
      <c r="C109" s="41" t="n"/>
      <c r="D109" s="41" t="inlineStr">
        <is>
          <t>Renata Francisco Becker</t>
        </is>
      </c>
      <c r="E109" s="44" t="n">
        <v>45946</v>
      </c>
      <c r="F109" s="41" t="inlineStr">
        <is>
          <t>3ª Turma Recursal</t>
        </is>
      </c>
      <c r="G109" s="41" t="n"/>
      <c r="I109" s="41" t="inlineStr"/>
      <c r="J109" s="41" t="inlineStr">
        <is>
          <t>Tarefa</t>
        </is>
      </c>
      <c r="K109" s="44" t="n">
        <v>46035</v>
      </c>
      <c r="L109" s="41" t="inlineStr">
        <is>
          <t xml:space="preserve">Lucas </t>
        </is>
      </c>
      <c r="M109" s="40" t="inlineStr">
        <is>
          <t>Cumprido</t>
        </is>
      </c>
      <c r="N109" s="44" t="n">
        <v>46035</v>
      </c>
      <c r="O109" s="41" t="inlineStr">
        <is>
          <t>Elaboração</t>
        </is>
      </c>
    </row>
    <row r="110" ht="18" customHeight="1">
      <c r="A110" s="40" t="inlineStr">
        <is>
          <t>03031132420168240020</t>
        </is>
      </c>
      <c r="B110" s="40" t="inlineStr">
        <is>
          <t>Outras</t>
        </is>
      </c>
      <c r="C110" s="41" t="n"/>
      <c r="D110" s="41" t="inlineStr">
        <is>
          <t>Pedro Victor</t>
        </is>
      </c>
      <c r="E110" s="44" t="n">
        <v>45877</v>
      </c>
      <c r="F110" s="41" t="inlineStr">
        <is>
          <t>Juízo da 4ª Vara Cível da Comarca de Criciúma</t>
        </is>
      </c>
      <c r="G110" s="41" t="n"/>
      <c r="I110" s="41" t="inlineStr">
        <is>
          <t>5002869-18.2025.8.24.0166</t>
        </is>
      </c>
      <c r="J110" s="41" t="inlineStr">
        <is>
          <t>Tarefa</t>
        </is>
      </c>
      <c r="K110" s="44" t="n">
        <v>46035</v>
      </c>
      <c r="L110" s="41" t="inlineStr">
        <is>
          <t>Jessica</t>
        </is>
      </c>
      <c r="M110" s="40" t="inlineStr">
        <is>
          <t>Cumprido</t>
        </is>
      </c>
      <c r="N110" s="44" t="n">
        <v>46035</v>
      </c>
      <c r="O110" s="41" t="inlineStr">
        <is>
          <t>Elaboração</t>
        </is>
      </c>
    </row>
    <row r="111" ht="18" customHeight="1">
      <c r="A111" s="40" t="inlineStr">
        <is>
          <t>5063316-82.2025.8.24.0000</t>
        </is>
      </c>
      <c r="B111" s="40" t="inlineStr">
        <is>
          <t>Outras</t>
        </is>
      </c>
      <c r="C111" s="41" t="n"/>
      <c r="D111" s="41" t="inlineStr">
        <is>
          <t>Renata Francisco Becker</t>
        </is>
      </c>
      <c r="E111" s="44" t="n">
        <v>45881</v>
      </c>
      <c r="F111" s="41" t="inlineStr">
        <is>
          <t>5 Camara</t>
        </is>
      </c>
      <c r="G111" s="41" t="n"/>
      <c r="I111" s="41" t="inlineStr">
        <is>
          <t>50127492120248240020</t>
        </is>
      </c>
      <c r="J111" s="41" t="inlineStr">
        <is>
          <t>Tarefa</t>
        </is>
      </c>
      <c r="K111" s="44" t="n">
        <v>46035</v>
      </c>
      <c r="L111" s="41" t="inlineStr">
        <is>
          <t xml:space="preserve">Alexia </t>
        </is>
      </c>
      <c r="M111" s="40" t="inlineStr">
        <is>
          <t>Cumprido</t>
        </is>
      </c>
      <c r="N111" s="44" t="n">
        <v>46035</v>
      </c>
      <c r="O111" s="41" t="inlineStr">
        <is>
          <t>Elaboração</t>
        </is>
      </c>
    </row>
    <row r="112" ht="18" customHeight="1">
      <c r="A112" s="40" t="inlineStr">
        <is>
          <t>5012063-48.2022.8.24.0004</t>
        </is>
      </c>
      <c r="B112" s="40" t="inlineStr">
        <is>
          <t>Outras</t>
        </is>
      </c>
      <c r="C112" s="41" t="n"/>
      <c r="D112" s="41" t="inlineStr">
        <is>
          <t>Renata Francisco Becker</t>
        </is>
      </c>
      <c r="E112" s="44" t="n">
        <v>45847</v>
      </c>
      <c r="F112" s="41" t="inlineStr">
        <is>
          <t>2° vara</t>
        </is>
      </c>
      <c r="G112" s="41" t="n"/>
      <c r="I112" s="41" t="inlineStr"/>
      <c r="J112" s="41" t="inlineStr">
        <is>
          <t>Tarefa</t>
        </is>
      </c>
      <c r="K112" s="44" t="n">
        <v>46035</v>
      </c>
      <c r="L112" s="41" t="inlineStr">
        <is>
          <t>Renata Francisco Becker</t>
        </is>
      </c>
      <c r="M112" s="40" t="inlineStr">
        <is>
          <t>Cumprido</t>
        </is>
      </c>
      <c r="N112" s="44" t="n">
        <v>46035</v>
      </c>
      <c r="O112" s="41" t="inlineStr">
        <is>
          <t>Entrega</t>
        </is>
      </c>
    </row>
    <row r="113" ht="18" customHeight="1">
      <c r="A113" s="40" t="inlineStr">
        <is>
          <t>0001441-37.2016.5.12.0053</t>
        </is>
      </c>
      <c r="B113" s="40" t="inlineStr">
        <is>
          <t>Outras</t>
        </is>
      </c>
      <c r="C113" s="41" t="n"/>
      <c r="D113" s="41" t="inlineStr">
        <is>
          <t>Renata Francisco Becker</t>
        </is>
      </c>
      <c r="E113" s="44" t="n">
        <v>44703</v>
      </c>
      <c r="F113" s="41" t="inlineStr">
        <is>
          <t>1ª VARA DO TRABALHO DE CRICIÚMA</t>
        </is>
      </c>
      <c r="G113" s="41" t="n"/>
      <c r="I113" s="41" t="inlineStr">
        <is>
          <t>5009605-05.2025.8.24.0020</t>
        </is>
      </c>
      <c r="J113" s="41" t="inlineStr">
        <is>
          <t>Tarefa</t>
        </is>
      </c>
      <c r="K113" s="44" t="n">
        <v>46035</v>
      </c>
      <c r="L113" s="41" t="inlineStr">
        <is>
          <t>Julia</t>
        </is>
      </c>
      <c r="M113" s="40" t="inlineStr">
        <is>
          <t>Cumprido</t>
        </is>
      </c>
      <c r="N113" s="44" t="n">
        <v>46035</v>
      </c>
      <c r="O113" s="41" t="inlineStr">
        <is>
          <t>Fazer as intimações das nossas testemunhas, e comprovar a juntada das intimaçãoes nos autos.</t>
        </is>
      </c>
    </row>
    <row r="114" ht="18" customHeight="1">
      <c r="A114" s="40" t="inlineStr">
        <is>
          <t>50039696520244047204</t>
        </is>
      </c>
      <c r="B114" s="40" t="inlineStr">
        <is>
          <t>Outras</t>
        </is>
      </c>
      <c r="C114" s="41" t="n"/>
      <c r="D114" s="41" t="inlineStr">
        <is>
          <t>Renata Francisco Becker</t>
        </is>
      </c>
      <c r="E114" s="44" t="n">
        <v>45587</v>
      </c>
      <c r="F114" s="41" t="inlineStr"/>
      <c r="G114" s="41" t="n"/>
      <c r="I114" s="41" t="inlineStr"/>
      <c r="J114" s="41" t="inlineStr">
        <is>
          <t>Tarefa</t>
        </is>
      </c>
      <c r="K114" s="44" t="n">
        <v>46035</v>
      </c>
      <c r="L114" s="41" t="inlineStr">
        <is>
          <t xml:space="preserve">Lucas </t>
        </is>
      </c>
      <c r="M114" s="40" t="inlineStr">
        <is>
          <t>Cumprido</t>
        </is>
      </c>
      <c r="N114" s="44" t="n">
        <v>46035</v>
      </c>
      <c r="O114" s="41" t="inlineStr">
        <is>
          <t>Protocolo</t>
        </is>
      </c>
    </row>
    <row r="115" ht="18" customHeight="1">
      <c r="A115" s="40" t="inlineStr">
        <is>
          <t>50186697320248240020</t>
        </is>
      </c>
      <c r="B115" s="40" t="inlineStr">
        <is>
          <t>Outras</t>
        </is>
      </c>
      <c r="C115" s="41" t="n"/>
      <c r="D115" s="41" t="inlineStr">
        <is>
          <t>Renata Francisco Becker</t>
        </is>
      </c>
      <c r="E115" s="44" t="n">
        <v>45628</v>
      </c>
      <c r="F115" s="41" t="inlineStr"/>
      <c r="G115" s="41" t="n"/>
      <c r="I115" s="41" t="inlineStr"/>
      <c r="J115" s="41" t="inlineStr">
        <is>
          <t>Tarefa</t>
        </is>
      </c>
      <c r="K115" s="44" t="n">
        <v>46035</v>
      </c>
      <c r="L115" s="41" t="inlineStr">
        <is>
          <t>Julia</t>
        </is>
      </c>
      <c r="M115" s="40" t="inlineStr">
        <is>
          <t>Cumprido</t>
        </is>
      </c>
      <c r="N115" s="44" t="n">
        <v>46035</v>
      </c>
      <c r="O115" s="41" t="inlineStr">
        <is>
          <t>Protocolo</t>
        </is>
      </c>
    </row>
    <row r="116" ht="18" customHeight="1">
      <c r="A116" s="40" t="inlineStr">
        <is>
          <t>5005586-63.2024.8.24.0028</t>
        </is>
      </c>
      <c r="B116" s="40" t="inlineStr">
        <is>
          <t>Outras</t>
        </is>
      </c>
      <c r="C116" s="41" t="n"/>
      <c r="D116" s="41" t="inlineStr">
        <is>
          <t>Renata Francisco Becker</t>
        </is>
      </c>
      <c r="E116" s="44" t="n">
        <v>45754</v>
      </c>
      <c r="F116" s="41" t="inlineStr"/>
      <c r="G116" s="41" t="n"/>
      <c r="I116" s="41" t="inlineStr"/>
      <c r="J116" s="41" t="inlineStr">
        <is>
          <t>Tarefa</t>
        </is>
      </c>
      <c r="K116" s="44" t="n">
        <v>46035</v>
      </c>
      <c r="L116" s="41" t="inlineStr">
        <is>
          <t>Renata Francisco Becker</t>
        </is>
      </c>
      <c r="M116" s="40" t="inlineStr">
        <is>
          <t>Cumprido</t>
        </is>
      </c>
      <c r="N116" s="44" t="n">
        <v>46035</v>
      </c>
      <c r="O116" s="41" t="inlineStr">
        <is>
          <t>Revisão</t>
        </is>
      </c>
    </row>
    <row r="117" ht="18" customHeight="1">
      <c r="A117" s="40" t="inlineStr">
        <is>
          <t>0010142-48.2025.5.15.0033</t>
        </is>
      </c>
      <c r="B117" s="40" t="inlineStr">
        <is>
          <t>Outras</t>
        </is>
      </c>
      <c r="C117" s="41" t="n"/>
      <c r="D117" s="41" t="inlineStr">
        <is>
          <t>Luci</t>
        </is>
      </c>
      <c r="E117" s="44" t="n">
        <v>45819</v>
      </c>
      <c r="F117" s="41" t="inlineStr">
        <is>
          <t>1</t>
        </is>
      </c>
      <c r="G117" s="41" t="n"/>
      <c r="I117" s="41" t="inlineStr"/>
      <c r="J117" s="41" t="inlineStr">
        <is>
          <t>Tarefa</t>
        </is>
      </c>
      <c r="K117" s="44" t="n">
        <v>46035</v>
      </c>
      <c r="L117" s="41" t="inlineStr">
        <is>
          <t>Renata Francisco Becker</t>
        </is>
      </c>
      <c r="M117" s="40" t="inlineStr">
        <is>
          <t>Cumprido</t>
        </is>
      </c>
      <c r="N117" s="44" t="n">
        <v>46035</v>
      </c>
      <c r="O117" s="41" t="inlineStr">
        <is>
          <t>Revisão</t>
        </is>
      </c>
    </row>
    <row r="118" ht="18" customHeight="1">
      <c r="A118" s="40" t="inlineStr">
        <is>
          <t>50012521020248240020</t>
        </is>
      </c>
      <c r="B118" s="40" t="inlineStr">
        <is>
          <t>Outras</t>
        </is>
      </c>
      <c r="C118" s="41" t="n"/>
      <c r="D118" s="41" t="inlineStr">
        <is>
          <t>Renata Francisco Becker</t>
        </is>
      </c>
      <c r="E118" s="44" t="n">
        <v>45314</v>
      </c>
      <c r="F118" s="41" t="inlineStr"/>
      <c r="G118" s="41" t="n"/>
      <c r="I118" s="41" t="inlineStr"/>
      <c r="J118" s="41" t="inlineStr">
        <is>
          <t>Tarefa</t>
        </is>
      </c>
      <c r="K118" s="44" t="n">
        <v>46035</v>
      </c>
      <c r="L118" s="41" t="inlineStr">
        <is>
          <t>Renata Francisco Becker</t>
        </is>
      </c>
      <c r="M118" s="40" t="inlineStr">
        <is>
          <t>Cumprido</t>
        </is>
      </c>
      <c r="N118" s="44" t="n">
        <v>46035</v>
      </c>
      <c r="O118" s="41" t="inlineStr">
        <is>
          <t>Revisão</t>
        </is>
      </c>
    </row>
    <row r="119" ht="18" customHeight="1">
      <c r="A119" s="40" t="inlineStr">
        <is>
          <t>77013</t>
        </is>
      </c>
      <c r="B119" s="40" t="inlineStr">
        <is>
          <t>Outras</t>
        </is>
      </c>
      <c r="C119" s="41" t="n"/>
      <c r="D119" s="41" t="inlineStr">
        <is>
          <t>Renata Francisco Becker</t>
        </is>
      </c>
      <c r="E119" s="44" t="n">
        <v>45727</v>
      </c>
      <c r="F119" s="41" t="inlineStr"/>
      <c r="G119" s="41" t="n"/>
      <c r="I119" s="41" t="inlineStr"/>
      <c r="J119" s="41" t="inlineStr">
        <is>
          <t>Tarefa</t>
        </is>
      </c>
      <c r="K119" s="44" t="n">
        <v>46035</v>
      </c>
      <c r="L119" s="41" t="inlineStr">
        <is>
          <t xml:space="preserve">Lucas </t>
        </is>
      </c>
      <c r="M119" s="40" t="inlineStr">
        <is>
          <t>Cumprido</t>
        </is>
      </c>
      <c r="N119" s="44" t="n">
        <v>46035</v>
      </c>
      <c r="O119" s="41" t="inlineStr">
        <is>
          <t>Revisão</t>
        </is>
      </c>
    </row>
    <row r="120" ht="18" customHeight="1">
      <c r="A120" s="40" t="n"/>
      <c r="B120" s="40" t="inlineStr">
        <is>
          <t>Outras</t>
        </is>
      </c>
      <c r="C120" s="41" t="n"/>
      <c r="D120" s="41" t="inlineStr">
        <is>
          <t>Pedro Victor</t>
        </is>
      </c>
      <c r="E120" s="44" t="n">
        <v>46038</v>
      </c>
      <c r="F120" s="41" t="n"/>
      <c r="G120" s="41" t="n"/>
      <c r="I120" s="41" t="inlineStr">
        <is>
          <t>5011984-50.2024.8.24.0020</t>
        </is>
      </c>
      <c r="J120" s="41" t="inlineStr">
        <is>
          <t>Tarefa</t>
        </is>
      </c>
      <c r="K120" s="44" t="n">
        <v>46035</v>
      </c>
      <c r="L120" s="41" t="inlineStr">
        <is>
          <t>Renata Francisco Becker</t>
        </is>
      </c>
      <c r="M120" s="40" t="inlineStr">
        <is>
          <t>Cumprido</t>
        </is>
      </c>
      <c r="N120" s="44" t="n">
        <v>46035</v>
      </c>
      <c r="O120" s="41" t="inlineStr">
        <is>
          <t>Revisão</t>
        </is>
      </c>
    </row>
    <row r="121" ht="18" customHeight="1">
      <c r="A121" s="40" t="inlineStr">
        <is>
          <t>5029283-06.2025.8.24.0020</t>
        </is>
      </c>
      <c r="B121" s="40" t="inlineStr">
        <is>
          <t>Outras</t>
        </is>
      </c>
      <c r="C121" s="41" t="n"/>
      <c r="D121" s="41" t="inlineStr">
        <is>
          <t>Renata Francisco Becker</t>
        </is>
      </c>
      <c r="E121" s="44" t="n">
        <v>46002</v>
      </c>
      <c r="F121" s="41" t="inlineStr">
        <is>
          <t>Vara Cível</t>
        </is>
      </c>
      <c r="G121" s="41" t="n"/>
      <c r="I121" s="41" t="inlineStr">
        <is>
          <t>5000966-52.2024.8.24.0078</t>
        </is>
      </c>
      <c r="J121" s="41" t="inlineStr">
        <is>
          <t>Tarefa</t>
        </is>
      </c>
      <c r="K121" s="44" t="n">
        <v>46035</v>
      </c>
      <c r="L121" s="41" t="inlineStr">
        <is>
          <t xml:space="preserve">Alexia </t>
        </is>
      </c>
      <c r="M121" s="40" t="inlineStr">
        <is>
          <t>Cumprido</t>
        </is>
      </c>
      <c r="N121" s="44" t="n">
        <v>46035</v>
      </c>
      <c r="O121" s="41" t="inlineStr">
        <is>
          <t>Revisão</t>
        </is>
      </c>
    </row>
    <row r="122" ht="18" customHeight="1">
      <c r="A122" s="40" t="inlineStr">
        <is>
          <t>5000336-15.2025.8.24.0028</t>
        </is>
      </c>
      <c r="B122" s="40" t="inlineStr">
        <is>
          <t>Outras</t>
        </is>
      </c>
      <c r="C122" s="41" t="n"/>
      <c r="D122" s="41" t="inlineStr">
        <is>
          <t>Renata Francisco Becker</t>
        </is>
      </c>
      <c r="E122" s="44" t="n">
        <v>45706</v>
      </c>
      <c r="F122" s="41" t="inlineStr"/>
      <c r="G122" s="41" t="n"/>
      <c r="I122" s="41" t="inlineStr">
        <is>
          <t>5030853-27.2025.8.24.0020</t>
        </is>
      </c>
      <c r="J122" s="41" t="inlineStr">
        <is>
          <t>Tarefa</t>
        </is>
      </c>
      <c r="K122" s="44" t="n">
        <v>46035</v>
      </c>
      <c r="L122" s="41" t="inlineStr">
        <is>
          <t>Renata Francisco Becker</t>
        </is>
      </c>
      <c r="M122" s="40" t="inlineStr">
        <is>
          <t>Cumprido</t>
        </is>
      </c>
      <c r="N122" s="44" t="n">
        <v>46035</v>
      </c>
      <c r="O122" s="41" t="inlineStr">
        <is>
          <t>Revisão</t>
        </is>
      </c>
    </row>
    <row r="123" ht="18" customHeight="1">
      <c r="A123" s="40" t="inlineStr">
        <is>
          <t>054793.0089949/2025</t>
        </is>
      </c>
      <c r="B123" s="40" t="inlineStr">
        <is>
          <t>Outras</t>
        </is>
      </c>
      <c r="C123" s="41" t="n"/>
      <c r="D123" s="41" t="inlineStr">
        <is>
          <t>Renata Francisco Becker</t>
        </is>
      </c>
      <c r="E123" s="44" t="n">
        <v>45982</v>
      </c>
      <c r="F123" s="41" t="inlineStr"/>
      <c r="G123" s="41" t="n"/>
      <c r="I123" s="41" t="inlineStr">
        <is>
          <t>5000966-52.2024.8.24.0078</t>
        </is>
      </c>
      <c r="J123" s="41" t="inlineStr">
        <is>
          <t>Tarefa</t>
        </is>
      </c>
      <c r="K123" s="44" t="n">
        <v>46035</v>
      </c>
      <c r="L123" s="41" t="inlineStr">
        <is>
          <t>Renata Francisco Becker</t>
        </is>
      </c>
      <c r="M123" s="40" t="inlineStr">
        <is>
          <t>Cumprido</t>
        </is>
      </c>
      <c r="N123" s="44" t="n">
        <v>46035</v>
      </c>
      <c r="O123" s="41" t="inlineStr">
        <is>
          <t>Revisão</t>
        </is>
      </c>
    </row>
    <row r="124" ht="18" customHeight="1">
      <c r="A124" s="40" t="n"/>
      <c r="B124" s="40" t="inlineStr">
        <is>
          <t>Outras</t>
        </is>
      </c>
      <c r="C124" s="41" t="n"/>
      <c r="D124" s="41" t="inlineStr">
        <is>
          <t>Marelize Controladoria</t>
        </is>
      </c>
      <c r="E124" s="44" t="n">
        <v>46093</v>
      </c>
      <c r="F124" s="41" t="n"/>
      <c r="G124" s="41" t="n"/>
      <c r="I124" s="41" t="inlineStr">
        <is>
          <t>0003005-61.2025.8.16.0154</t>
        </is>
      </c>
      <c r="J124" s="41" t="inlineStr">
        <is>
          <t>Tarefa</t>
        </is>
      </c>
      <c r="K124" s="44" t="n">
        <v>46035</v>
      </c>
      <c r="L124" s="41" t="inlineStr">
        <is>
          <t>Renata Francisco Becker</t>
        </is>
      </c>
      <c r="M124" s="40" t="inlineStr">
        <is>
          <t>Cumprido</t>
        </is>
      </c>
      <c r="N124" s="44" t="n">
        <v>46035</v>
      </c>
      <c r="O124" s="41" t="inlineStr">
        <is>
          <t>Revisão</t>
        </is>
      </c>
    </row>
    <row r="125" ht="18" customHeight="1">
      <c r="A125" s="40" t="n"/>
      <c r="B125" s="40" t="inlineStr">
        <is>
          <t>Outras</t>
        </is>
      </c>
      <c r="C125" s="41" t="n"/>
      <c r="D125" s="41" t="inlineStr">
        <is>
          <t>Renata Francisco Becker</t>
        </is>
      </c>
      <c r="E125" s="44" t="n">
        <v>46098</v>
      </c>
      <c r="F125" s="41" t="n"/>
      <c r="G125" s="41" t="n"/>
      <c r="I125" s="41" t="inlineStr">
        <is>
          <t>5030853-27.2025.8.24.0020</t>
        </is>
      </c>
      <c r="J125" s="41" t="inlineStr">
        <is>
          <t>Tarefa</t>
        </is>
      </c>
      <c r="K125" s="44" t="n">
        <v>46035</v>
      </c>
      <c r="L125" s="41" t="inlineStr">
        <is>
          <t>Jessica</t>
        </is>
      </c>
      <c r="M125" s="40" t="inlineStr">
        <is>
          <t>Cumprido</t>
        </is>
      </c>
      <c r="N125" s="44" t="n">
        <v>46035</v>
      </c>
      <c r="O125" s="41" t="inlineStr">
        <is>
          <t>Revisão</t>
        </is>
      </c>
    </row>
    <row r="126" ht="18" customHeight="1">
      <c r="A126" s="40" t="inlineStr">
        <is>
          <t>0001647-89.2025.5.12.0003</t>
        </is>
      </c>
      <c r="B126" s="40" t="inlineStr">
        <is>
          <t>Outras</t>
        </is>
      </c>
      <c r="C126" s="41" t="n"/>
      <c r="D126" s="41" t="inlineStr">
        <is>
          <t>Luci</t>
        </is>
      </c>
      <c r="E126" s="44" t="n">
        <v>45983</v>
      </c>
      <c r="F126" s="41" t="inlineStr"/>
      <c r="G126" s="41" t="n"/>
      <c r="I126" s="41" t="inlineStr">
        <is>
          <t>0003005-61.2025.8.16.0154</t>
        </is>
      </c>
      <c r="J126" s="41" t="inlineStr">
        <is>
          <t>Tarefa</t>
        </is>
      </c>
      <c r="K126" s="44" t="n">
        <v>46035</v>
      </c>
      <c r="L126" s="41" t="inlineStr">
        <is>
          <t>Renata Francisco Becker</t>
        </is>
      </c>
      <c r="M126" s="40" t="inlineStr">
        <is>
          <t>Cumprido</t>
        </is>
      </c>
      <c r="N126" s="44" t="n">
        <v>46035</v>
      </c>
      <c r="O126" s="41" t="inlineStr">
        <is>
          <t>Revisão</t>
        </is>
      </c>
    </row>
    <row r="127" ht="18" customHeight="1">
      <c r="A127" s="40" t="inlineStr">
        <is>
          <t>0902136-51.2014.8.24.0020</t>
        </is>
      </c>
      <c r="B127" s="40" t="inlineStr">
        <is>
          <t>Outras</t>
        </is>
      </c>
      <c r="C127" s="41" t="n"/>
      <c r="D127" s="41" t="inlineStr">
        <is>
          <t xml:space="preserve">Lucas </t>
        </is>
      </c>
      <c r="E127" s="44" t="n">
        <v>45702</v>
      </c>
      <c r="F127" s="41" t="inlineStr">
        <is>
          <t>Juízo da 2ª Vara da Fazenda Pública da Comarca de Criciúma</t>
        </is>
      </c>
      <c r="G127" s="41" t="n"/>
      <c r="I127" s="41" t="inlineStr"/>
      <c r="J127" s="41" t="inlineStr">
        <is>
          <t>Tarefa</t>
        </is>
      </c>
      <c r="K127" s="44" t="n">
        <v>46035</v>
      </c>
      <c r="L127" s="41" t="inlineStr">
        <is>
          <t>Renata Francisco Becker</t>
        </is>
      </c>
      <c r="M127" s="40" t="inlineStr">
        <is>
          <t>Cumprido</t>
        </is>
      </c>
      <c r="N127" s="44" t="n">
        <v>46035</v>
      </c>
      <c r="O127" s="41" t="inlineStr">
        <is>
          <t>Analise contrato Nika</t>
        </is>
      </c>
    </row>
    <row r="128" ht="18" customHeight="1">
      <c r="A128" s="40" t="inlineStr">
        <is>
          <t>5029854-74.2025.8.24.0020</t>
        </is>
      </c>
      <c r="B128" s="40" t="inlineStr">
        <is>
          <t>Outras</t>
        </is>
      </c>
      <c r="C128" s="41" t="n"/>
      <c r="D128" s="41" t="inlineStr">
        <is>
          <t>Julia</t>
        </is>
      </c>
      <c r="E128" s="44" t="n">
        <v>45972</v>
      </c>
      <c r="F128" s="41" t="inlineStr"/>
      <c r="G128" s="41" t="n"/>
      <c r="I128" s="41" t="inlineStr"/>
      <c r="J128" s="41" t="inlineStr">
        <is>
          <t>Tarefa</t>
        </is>
      </c>
      <c r="K128" s="44" t="n">
        <v>46035</v>
      </c>
      <c r="L128" s="41" t="inlineStr">
        <is>
          <t>Marelize Controladoria</t>
        </is>
      </c>
      <c r="M128" s="40" t="inlineStr">
        <is>
          <t>Cumprido</t>
        </is>
      </c>
      <c r="N128" s="44" t="n">
        <v>46035</v>
      </c>
      <c r="O128" s="41" t="inlineStr">
        <is>
          <t xml:space="preserve">DISTRIBUIR - Tarefa - fazer 02 embargos de terceiros do Marcos.
Naqueles dois processo que lhe entreguei as folhinhas. 
</t>
        </is>
      </c>
    </row>
    <row r="129" ht="18" customHeight="1">
      <c r="A129" s="40" t="inlineStr">
        <is>
          <t>0000059-93.2026.5.12.0041</t>
        </is>
      </c>
      <c r="B129" s="40" t="inlineStr">
        <is>
          <t>Outras</t>
        </is>
      </c>
      <c r="C129" s="41" t="n"/>
      <c r="D129" s="41" t="inlineStr">
        <is>
          <t>Marelize Controladoria</t>
        </is>
      </c>
      <c r="E129" s="44" t="n">
        <v>46057</v>
      </c>
      <c r="F129" s="41" t="inlineStr">
        <is>
          <t>CEJUSC-JT/Tubarão</t>
        </is>
      </c>
      <c r="G129" s="41" t="n"/>
      <c r="I129" s="41" t="inlineStr">
        <is>
          <t>5011974-69.2025.8.24.0020</t>
        </is>
      </c>
      <c r="J129" s="41" t="inlineStr">
        <is>
          <t>Tarefa</t>
        </is>
      </c>
      <c r="K129" s="44" t="n">
        <v>46035</v>
      </c>
      <c r="L129" s="41" t="inlineStr">
        <is>
          <t>Julia</t>
        </is>
      </c>
      <c r="M129" s="40" t="inlineStr">
        <is>
          <t>Cumprido</t>
        </is>
      </c>
      <c r="N129" s="44" t="n">
        <v>46035</v>
      </c>
      <c r="O129" s="41" t="inlineStr">
        <is>
          <t>emitir 4 parcela guia de deposito e juntar</t>
        </is>
      </c>
    </row>
    <row r="130" ht="18" customHeight="1">
      <c r="A130" s="40" t="inlineStr">
        <is>
          <t>0001450-62.2025.5.12.0027</t>
        </is>
      </c>
      <c r="B130" s="40" t="inlineStr">
        <is>
          <t>Outras</t>
        </is>
      </c>
      <c r="C130" s="41" t="n"/>
      <c r="D130" s="41" t="inlineStr">
        <is>
          <t>Marelize Controladoria</t>
        </is>
      </c>
      <c r="E130" s="44" t="n">
        <v>46035</v>
      </c>
      <c r="F130" s="41" t="inlineStr">
        <is>
          <t>2ª VARA DO TRABALHO DE CRICIÚMA</t>
        </is>
      </c>
      <c r="G130" s="41" t="n"/>
      <c r="I130" s="41" t="inlineStr"/>
      <c r="J130" s="41" t="inlineStr">
        <is>
          <t>Tarefa</t>
        </is>
      </c>
      <c r="K130" s="44" t="n">
        <v>46035</v>
      </c>
      <c r="L130" s="41" t="inlineStr">
        <is>
          <t>Jessica</t>
        </is>
      </c>
      <c r="M130" s="40" t="inlineStr">
        <is>
          <t>Cumprido</t>
        </is>
      </c>
      <c r="N130" s="44" t="n">
        <v>46035</v>
      </c>
      <c r="O130" s="41" t="inlineStr">
        <is>
          <t>Fazer checklist de transação tributária e recuperação de crédito</t>
        </is>
      </c>
    </row>
    <row r="131" ht="18" customHeight="1">
      <c r="A131" s="40" t="n"/>
      <c r="B131" s="40" t="inlineStr">
        <is>
          <t>Outras</t>
        </is>
      </c>
      <c r="C131" s="41" t="n"/>
      <c r="D131" s="41" t="inlineStr">
        <is>
          <t>Marelize Controladoria</t>
        </is>
      </c>
      <c r="E131" s="44" t="n">
        <v>46079</v>
      </c>
      <c r="F131" s="41" t="n"/>
      <c r="G131" s="41" t="n"/>
      <c r="I131" s="41" t="inlineStr"/>
      <c r="J131" s="41" t="inlineStr">
        <is>
          <t>Tarefa</t>
        </is>
      </c>
      <c r="K131" s="44" t="n">
        <v>46035</v>
      </c>
      <c r="L131" s="41" t="inlineStr">
        <is>
          <t>Jessica</t>
        </is>
      </c>
      <c r="M131" s="40" t="inlineStr">
        <is>
          <t>Cumprido</t>
        </is>
      </c>
      <c r="N131" s="44" t="n">
        <v>46035</v>
      </c>
      <c r="O131" s="41" t="inlineStr">
        <is>
          <t>Inclusão de cláusula contratual. Demanda do cliente: Casos em que é fechado  o contrato, e depois o cliente desiste, não paga e ficamos com o produto pronto na empresa, dependendo de negociação com o cliente. Clausula requerida pelo bruno. Já elaborei, favor conferir e encaixar no lugar certo dos contratos padrão .  
C:\Users\Usuário\Nextcloud4\Compartilhados\Renata e Pedro\Becker &amp; Victor Advogados\Clientes\Assessorias\28 - Vonsher\02-HF INDUSTRIA E COMERCIO DE COSMETICOS LTDA\Cíveis\Modelos de</t>
        </is>
      </c>
    </row>
    <row r="132" ht="18" customHeight="1">
      <c r="A132" s="40" t="inlineStr">
        <is>
          <t>5003445-90.2025.8.24.0075</t>
        </is>
      </c>
      <c r="B132" s="40" t="inlineStr">
        <is>
          <t>Outras</t>
        </is>
      </c>
      <c r="C132" s="41" t="n"/>
      <c r="D132" s="41" t="inlineStr">
        <is>
          <t>Marelize Controladoria</t>
        </is>
      </c>
      <c r="E132" s="44" t="n">
        <v>46034</v>
      </c>
      <c r="F132" s="41" t="inlineStr">
        <is>
          <t>Juízo da Vara da Família, Órfãos, Infância e Juventude da Comarca de Tubarão</t>
        </is>
      </c>
      <c r="G132" s="41" t="n"/>
      <c r="I132" s="41" t="inlineStr"/>
      <c r="J132" s="41" t="inlineStr">
        <is>
          <t>Tarefa</t>
        </is>
      </c>
      <c r="K132" s="44" t="n">
        <v>46035</v>
      </c>
      <c r="L132" s="41" t="inlineStr">
        <is>
          <t>Julia</t>
        </is>
      </c>
      <c r="M132" s="40" t="inlineStr">
        <is>
          <t>Cumprido</t>
        </is>
      </c>
      <c r="N132" s="44" t="n">
        <v>46035</v>
      </c>
      <c r="O132" s="41" t="inlineStr">
        <is>
          <t>Júlia, dar retorno grupo Transdag</t>
        </is>
      </c>
    </row>
    <row r="133" ht="18" customHeight="1">
      <c r="A133" s="40" t="n"/>
      <c r="B133" s="40" t="inlineStr">
        <is>
          <t>Outras</t>
        </is>
      </c>
      <c r="C133" s="41" t="n"/>
      <c r="D133" s="41" t="inlineStr">
        <is>
          <t>Marelize Controladoria</t>
        </is>
      </c>
      <c r="E133" s="44" t="n">
        <v>46071</v>
      </c>
      <c r="F133" s="41" t="n"/>
      <c r="G133" s="41" t="n"/>
      <c r="I133" s="41" t="inlineStr"/>
      <c r="J133" s="41" t="inlineStr">
        <is>
          <t>Tarefa</t>
        </is>
      </c>
      <c r="K133" s="44" t="n">
        <v>46035</v>
      </c>
      <c r="L133" s="41" t="inlineStr">
        <is>
          <t>Jessica</t>
        </is>
      </c>
      <c r="M133" s="40" t="inlineStr">
        <is>
          <t>Cumprido</t>
        </is>
      </c>
      <c r="N133" s="44" t="n">
        <v>46035</v>
      </c>
      <c r="O133" s="41" t="inlineStr">
        <is>
          <t xml:space="preserve">PEsquisa bens delegados e relacionamento Delegado </t>
        </is>
      </c>
    </row>
    <row r="134" ht="18" customHeight="1">
      <c r="A134" s="40" t="inlineStr">
        <is>
          <t>5007359-08.2026.8.24.0018</t>
        </is>
      </c>
      <c r="B134" s="40" t="inlineStr">
        <is>
          <t>Outras</t>
        </is>
      </c>
      <c r="C134" s="41" t="n"/>
      <c r="D134" s="41" t="inlineStr">
        <is>
          <t>Renata Francisco Becker</t>
        </is>
      </c>
      <c r="E134" s="44" t="n">
        <v>45931</v>
      </c>
      <c r="F134" s="41" t="inlineStr">
        <is>
          <t>Juizado Especial Cível</t>
        </is>
      </c>
      <c r="G134" s="41" t="n"/>
      <c r="I134" s="41" t="inlineStr">
        <is>
          <t>5020732-76.2021.8.24.0020</t>
        </is>
      </c>
      <c r="J134" s="41" t="inlineStr">
        <is>
          <t>Tarefa</t>
        </is>
      </c>
      <c r="K134" s="44" t="n">
        <v>46035</v>
      </c>
      <c r="L134" s="41" t="inlineStr">
        <is>
          <t xml:space="preserve">Alexia </t>
        </is>
      </c>
      <c r="M134" s="40" t="inlineStr">
        <is>
          <t>Cumprido</t>
        </is>
      </c>
      <c r="N134" s="44" t="n">
        <v>46035</v>
      </c>
      <c r="O134" s="41" t="inlineStr">
        <is>
          <t>Por gentileza, com base nas mensagens nos comentários, poderia delegar para análise?</t>
        </is>
      </c>
    </row>
    <row r="135" ht="18" customHeight="1">
      <c r="A135" s="40" t="inlineStr">
        <is>
          <t>5005989-56.2024.8.24.0020</t>
        </is>
      </c>
      <c r="B135" s="40" t="inlineStr">
        <is>
          <t>Outras</t>
        </is>
      </c>
      <c r="C135" s="41" t="n"/>
      <c r="D135" s="41" t="inlineStr">
        <is>
          <t>Renata Francisco Becker</t>
        </is>
      </c>
      <c r="E135" s="44" t="n">
        <v>45414</v>
      </c>
      <c r="F135" s="41" t="inlineStr">
        <is>
          <t>Juízo da 3ª Vara Cível da Comarca de Criciúma</t>
        </is>
      </c>
      <c r="G135" s="41" t="n"/>
      <c r="I135" s="41" t="inlineStr"/>
      <c r="J135" s="41" t="inlineStr">
        <is>
          <t>Evento</t>
        </is>
      </c>
      <c r="K135" s="44" t="n">
        <v>46035</v>
      </c>
      <c r="L135" s="41" t="inlineStr">
        <is>
          <t>Renata Francisco Becker</t>
        </is>
      </c>
      <c r="M135" s="40" t="inlineStr">
        <is>
          <t>Cumprido</t>
        </is>
      </c>
      <c r="N135" s="44" t="n">
        <v>46035</v>
      </c>
      <c r="O135" s="41" t="inlineStr">
        <is>
          <t>Compromisso fora escr.</t>
        </is>
      </c>
    </row>
    <row r="136" ht="18" customHeight="1">
      <c r="A136" s="40" t="inlineStr">
        <is>
          <t>5002622-63.2025.8.24.0028</t>
        </is>
      </c>
      <c r="B136" s="40" t="inlineStr">
        <is>
          <t>Outras</t>
        </is>
      </c>
      <c r="C136" s="41" t="n"/>
      <c r="D136" s="41" t="inlineStr">
        <is>
          <t>Renata Francisco Becker</t>
        </is>
      </c>
      <c r="E136" s="44" t="n">
        <v>45758</v>
      </c>
      <c r="F136" s="41" t="inlineStr">
        <is>
          <t>1° VARA CIVEL</t>
        </is>
      </c>
      <c r="G136" s="41" t="n"/>
      <c r="I136" s="41" t="inlineStr"/>
      <c r="J136" s="41" t="inlineStr">
        <is>
          <t>Evento</t>
        </is>
      </c>
      <c r="K136" s="44" t="n">
        <v>46035</v>
      </c>
      <c r="L136" s="41" t="inlineStr">
        <is>
          <t>Marelize Controladoria</t>
        </is>
      </c>
      <c r="M136" s="40" t="inlineStr">
        <is>
          <t>Cumprido</t>
        </is>
      </c>
      <c r="N136" s="44" t="n">
        <v>46035</v>
      </c>
      <c r="O136" s="41" t="inlineStr">
        <is>
          <t>Treinamento in company</t>
        </is>
      </c>
    </row>
    <row r="137" ht="18" customHeight="1">
      <c r="A137" s="40" t="inlineStr">
        <is>
          <t>40013348420268260100</t>
        </is>
      </c>
      <c r="B137" s="40" t="inlineStr">
        <is>
          <t>Outras</t>
        </is>
      </c>
      <c r="C137" s="41" t="n"/>
      <c r="D137" s="41" t="inlineStr">
        <is>
          <t>Renata Francisco Becker</t>
        </is>
      </c>
      <c r="E137" s="44" t="n">
        <v>45867</v>
      </c>
      <c r="F137" s="41" t="inlineStr">
        <is>
          <t>18ª Vara Cível - Foro Central Cível</t>
        </is>
      </c>
      <c r="G137" s="41" t="n"/>
      <c r="I137" s="41" t="inlineStr"/>
      <c r="J137" s="41" t="inlineStr">
        <is>
          <t>Prazo</t>
        </is>
      </c>
      <c r="K137" s="44" t="n">
        <v>46036</v>
      </c>
      <c r="L137" s="41" t="inlineStr">
        <is>
          <t>Marelize Controladoria</t>
        </is>
      </c>
      <c r="M137" s="40" t="inlineStr">
        <is>
          <t>Cumprido</t>
        </is>
      </c>
      <c r="N137" s="44" t="n">
        <v>46036</v>
      </c>
      <c r="O137" s="41" t="inlineStr">
        <is>
          <t>DISTRIBUIR - Elaborar contrato PJ Isabela</t>
        </is>
      </c>
    </row>
    <row r="138" ht="18" customHeight="1">
      <c r="A138" s="40" t="inlineStr">
        <is>
          <t>0000425-27.2025.5.12.0055</t>
        </is>
      </c>
      <c r="B138" s="40" t="inlineStr">
        <is>
          <t>Outras</t>
        </is>
      </c>
      <c r="C138" s="41" t="n"/>
      <c r="D138" s="41" t="inlineStr">
        <is>
          <t>Renata Francisco Becker</t>
        </is>
      </c>
      <c r="E138" s="44" t="n">
        <v>45807</v>
      </c>
      <c r="F138" s="41" t="inlineStr">
        <is>
          <t>Vara do Trabalho</t>
        </is>
      </c>
      <c r="G138" s="41" t="n"/>
      <c r="I138" s="41" t="inlineStr">
        <is>
          <t>51288000420248240930</t>
        </is>
      </c>
      <c r="J138" s="41" t="inlineStr">
        <is>
          <t>Prazo</t>
        </is>
      </c>
      <c r="K138" s="44" t="n">
        <v>46036</v>
      </c>
      <c r="L138" s="41" t="inlineStr">
        <is>
          <t>Renata Francisco Becker</t>
        </is>
      </c>
      <c r="M138" s="40" t="inlineStr">
        <is>
          <t>Cumprido</t>
        </is>
      </c>
      <c r="N138" s="44" t="n">
        <v>46036</v>
      </c>
      <c r="O138" s="41" t="inlineStr">
        <is>
          <t>Embargos de Terceiro Marcos</t>
        </is>
      </c>
    </row>
    <row r="139" ht="18" customHeight="1">
      <c r="A139" s="40" t="inlineStr">
        <is>
          <t>50010958420248240166</t>
        </is>
      </c>
      <c r="B139" s="40" t="inlineStr">
        <is>
          <t>Outras</t>
        </is>
      </c>
      <c r="C139" s="41" t="n"/>
      <c r="D139" s="41" t="inlineStr">
        <is>
          <t>Renata Francisco Becker</t>
        </is>
      </c>
      <c r="E139" s="44" t="n">
        <v>45414</v>
      </c>
      <c r="F139" s="41" t="inlineStr">
        <is>
          <t>Juízo da Vara Única da Comarca de Forquilhinha</t>
        </is>
      </c>
      <c r="G139" s="41" t="n"/>
      <c r="I139" s="41" t="inlineStr"/>
      <c r="J139" s="41" t="inlineStr">
        <is>
          <t>Prazo</t>
        </is>
      </c>
      <c r="K139" s="44" t="n">
        <v>46036</v>
      </c>
      <c r="L139" s="41" t="inlineStr">
        <is>
          <t>Julia</t>
        </is>
      </c>
      <c r="M139" s="40" t="inlineStr">
        <is>
          <t>Cumprido</t>
        </is>
      </c>
      <c r="N139" s="44" t="n">
        <v>46036</v>
      </c>
      <c r="O139" s="41" t="inlineStr">
        <is>
          <t>Fazer inicial de cobrança</t>
        </is>
      </c>
    </row>
    <row r="140" ht="18" customHeight="1">
      <c r="A140" s="40" t="inlineStr">
        <is>
          <t>5019492-13.2025.8.24.0020</t>
        </is>
      </c>
      <c r="B140" s="40" t="inlineStr">
        <is>
          <t>Outras</t>
        </is>
      </c>
      <c r="C140" s="41" t="n"/>
      <c r="D140" s="41" t="inlineStr">
        <is>
          <t>Renata Francisco Becker</t>
        </is>
      </c>
      <c r="E140" s="44" t="n">
        <v>45883</v>
      </c>
      <c r="F140" s="41" t="inlineStr">
        <is>
          <t>Vara Cível</t>
        </is>
      </c>
      <c r="G140" s="41" t="n"/>
      <c r="I140" s="41" t="inlineStr">
        <is>
          <t>0001450-62.2025.5.12.0027</t>
        </is>
      </c>
      <c r="J140" s="41" t="inlineStr">
        <is>
          <t>Prazo</t>
        </is>
      </c>
      <c r="K140" s="44" t="n">
        <v>46036</v>
      </c>
      <c r="L140" s="41" t="inlineStr">
        <is>
          <t xml:space="preserve">Lucas </t>
        </is>
      </c>
      <c r="M140" s="40" t="inlineStr">
        <is>
          <t>Cumprido</t>
        </is>
      </c>
      <c r="N140" s="44" t="n">
        <v>46036</v>
      </c>
      <c r="O140" s="41" t="inlineStr">
        <is>
          <t>Juntar procuração</t>
        </is>
      </c>
    </row>
    <row r="141" ht="18" customHeight="1">
      <c r="A141" s="40" t="inlineStr">
        <is>
          <t>5031380-76.2025.8.24.0020</t>
        </is>
      </c>
      <c r="B141" s="40" t="inlineStr">
        <is>
          <t>Outras</t>
        </is>
      </c>
      <c r="C141" s="41" t="n"/>
      <c r="D141" s="41" t="inlineStr">
        <is>
          <t>Renata Francisco Becker</t>
        </is>
      </c>
      <c r="E141" s="44" t="n">
        <v>45918</v>
      </c>
      <c r="F141" s="41" t="inlineStr">
        <is>
          <t>Unidade Judiciária de Cooperação</t>
        </is>
      </c>
      <c r="G141" s="41" t="n"/>
      <c r="I141" s="41" t="inlineStr"/>
      <c r="J141" s="41" t="inlineStr">
        <is>
          <t>Prazo</t>
        </is>
      </c>
      <c r="K141" s="44" t="n">
        <v>46036</v>
      </c>
      <c r="L141" s="41" t="inlineStr">
        <is>
          <t>Pedro Victor</t>
        </is>
      </c>
      <c r="M141" s="40" t="inlineStr">
        <is>
          <t>Cumprido</t>
        </is>
      </c>
      <c r="N141" s="44" t="n">
        <v>46036</v>
      </c>
      <c r="O141" s="41" t="inlineStr">
        <is>
          <t>Pedro, retornar o sr. Joel - Granda Engenharia</t>
        </is>
      </c>
    </row>
    <row r="142" ht="18" customHeight="1">
      <c r="A142" s="40" t="inlineStr">
        <is>
          <t>5004822-24.2023.8.24.0930</t>
        </is>
      </c>
      <c r="B142" s="40" t="inlineStr">
        <is>
          <t>Outras</t>
        </is>
      </c>
      <c r="C142" s="41" t="n"/>
      <c r="D142" s="41" t="inlineStr">
        <is>
          <t>Renata Francisco Becker</t>
        </is>
      </c>
      <c r="E142" s="44" t="n">
        <v>45754</v>
      </c>
      <c r="F142" s="41" t="inlineStr"/>
      <c r="G142" s="41" t="n"/>
      <c r="I142" s="41" t="inlineStr">
        <is>
          <t>5033219-02.2025.8.24.0000</t>
        </is>
      </c>
      <c r="J142" s="41" t="inlineStr">
        <is>
          <t>Prazo</t>
        </is>
      </c>
      <c r="K142" s="44" t="n">
        <v>46036</v>
      </c>
      <c r="L142" s="41" t="inlineStr">
        <is>
          <t>Renata Francisco Becker</t>
        </is>
      </c>
      <c r="M142" s="40" t="inlineStr">
        <is>
          <t>Cumprido</t>
        </is>
      </c>
      <c r="N142" s="44" t="n">
        <v>46036</v>
      </c>
      <c r="O142" s="41" t="inlineStr">
        <is>
          <t>Prazo Angelita - PF 28.01</t>
        </is>
      </c>
    </row>
    <row r="143" ht="18" customHeight="1">
      <c r="A143" s="40" t="inlineStr">
        <is>
          <t>5017802-94.2025.8.24.0004</t>
        </is>
      </c>
      <c r="B143" s="40" t="inlineStr">
        <is>
          <t>Outras</t>
        </is>
      </c>
      <c r="C143" s="41" t="n"/>
      <c r="D143" s="41" t="inlineStr">
        <is>
          <t>Renata Francisco Becker</t>
        </is>
      </c>
      <c r="E143" s="44" t="n">
        <v>45961</v>
      </c>
      <c r="F143" s="41" t="inlineStr">
        <is>
          <t>3° Vara Civel</t>
        </is>
      </c>
      <c r="G143" s="41" t="n"/>
      <c r="I143" s="41" t="inlineStr">
        <is>
          <t>5006782-58.2025.8.24.0020</t>
        </is>
      </c>
      <c r="J143" s="41" t="inlineStr">
        <is>
          <t>Prazo</t>
        </is>
      </c>
      <c r="K143" s="44" t="n">
        <v>46036</v>
      </c>
      <c r="L143" s="41" t="inlineStr">
        <is>
          <t xml:space="preserve">Alexia </t>
        </is>
      </c>
      <c r="M143" s="40" t="inlineStr">
        <is>
          <t>Cumprido</t>
        </is>
      </c>
      <c r="N143" s="44" t="n">
        <v>46036</v>
      </c>
      <c r="O143" s="41" t="inlineStr">
        <is>
          <t>Prazo JETSUL</t>
        </is>
      </c>
    </row>
    <row r="144" ht="18" customHeight="1">
      <c r="A144" s="40" t="inlineStr">
        <is>
          <t>0000438-51.2026.5.12.0003</t>
        </is>
      </c>
      <c r="B144" s="40" t="inlineStr">
        <is>
          <t>Outras</t>
        </is>
      </c>
      <c r="C144" s="41" t="n"/>
      <c r="D144" s="41" t="inlineStr">
        <is>
          <t>Marelize Controladoria</t>
        </is>
      </c>
      <c r="E144" s="44" t="n">
        <v>46037</v>
      </c>
      <c r="F144" s="41" t="inlineStr">
        <is>
          <t>1ª VARA DO TRABALHO DE CRICIÚMA</t>
        </is>
      </c>
      <c r="G144" s="41" t="n"/>
      <c r="I144" s="41" t="inlineStr">
        <is>
          <t>50097130520238240020</t>
        </is>
      </c>
      <c r="J144" s="41" t="inlineStr">
        <is>
          <t>Prazo</t>
        </is>
      </c>
      <c r="K144" s="44" t="n">
        <v>46036</v>
      </c>
      <c r="L144" s="41" t="inlineStr">
        <is>
          <t xml:space="preserve">Alexia </t>
        </is>
      </c>
      <c r="M144" s="40" t="inlineStr">
        <is>
          <t>Cumprido</t>
        </is>
      </c>
      <c r="N144" s="44" t="n">
        <v>46036</v>
      </c>
      <c r="O144" s="41" t="inlineStr">
        <is>
          <t xml:space="preserve">Prazo Natalia </t>
        </is>
      </c>
    </row>
    <row r="145" ht="18" customHeight="1">
      <c r="A145" s="40" t="inlineStr">
        <is>
          <t>5010676-88.2020.4.04.7204</t>
        </is>
      </c>
      <c r="B145" s="40" t="inlineStr">
        <is>
          <t>Outras</t>
        </is>
      </c>
      <c r="C145" s="41" t="n"/>
      <c r="D145" s="41" t="inlineStr">
        <is>
          <t>Renata Francisco Becker</t>
        </is>
      </c>
      <c r="E145" s="44" t="n">
        <v>44725</v>
      </c>
      <c r="F145" s="41" t="inlineStr">
        <is>
          <t>Juízo Substituto da 4ª VF de Criciúma</t>
        </is>
      </c>
      <c r="G145" s="41" t="n"/>
      <c r="I145" s="41" t="inlineStr"/>
      <c r="J145" s="41" t="inlineStr">
        <is>
          <t>Prazo</t>
        </is>
      </c>
      <c r="K145" s="44" t="n">
        <v>46036</v>
      </c>
      <c r="L145" s="41" t="inlineStr">
        <is>
          <t xml:space="preserve">Lucas </t>
        </is>
      </c>
      <c r="M145" s="40" t="inlineStr">
        <is>
          <t>Cumprido</t>
        </is>
      </c>
      <c r="N145" s="44" t="n">
        <v>46036</v>
      </c>
      <c r="O145" s="41" t="inlineStr">
        <is>
          <t>RENUNCIA DOS PROCESSOS RECAPADORA</t>
        </is>
      </c>
    </row>
    <row r="146" ht="18" customHeight="1">
      <c r="A146" s="40" t="inlineStr">
        <is>
          <t>5003206-41.2024.8.24.0166</t>
        </is>
      </c>
      <c r="B146" s="40" t="inlineStr">
        <is>
          <t>Outras</t>
        </is>
      </c>
      <c r="C146" s="41" t="n"/>
      <c r="D146" s="41" t="inlineStr">
        <is>
          <t>Renata Francisco Becker</t>
        </is>
      </c>
      <c r="E146" s="44" t="n">
        <v>45726</v>
      </c>
      <c r="F146" s="41" t="inlineStr"/>
      <c r="G146" s="41" t="n"/>
      <c r="I146" s="41" t="inlineStr">
        <is>
          <t>50061370320258240030</t>
        </is>
      </c>
      <c r="J146" s="41" t="inlineStr">
        <is>
          <t>Prazo</t>
        </is>
      </c>
      <c r="K146" s="44" t="n">
        <v>46036</v>
      </c>
      <c r="L146" s="41" t="inlineStr">
        <is>
          <t xml:space="preserve">Alexia </t>
        </is>
      </c>
      <c r="M146" s="40" t="inlineStr">
        <is>
          <t>Cumprido</t>
        </is>
      </c>
      <c r="N146" s="44" t="n">
        <v>46036</v>
      </c>
      <c r="O146" s="41" t="inlineStr">
        <is>
          <t>Réplica 27/01</t>
        </is>
      </c>
    </row>
    <row r="147" ht="18" customHeight="1">
      <c r="A147" s="40" t="inlineStr">
        <is>
          <t>5003399-87.2021.8.24.0028</t>
        </is>
      </c>
      <c r="B147" s="40" t="inlineStr">
        <is>
          <t>Outras</t>
        </is>
      </c>
      <c r="C147" s="41" t="n"/>
      <c r="D147" s="41" t="inlineStr">
        <is>
          <t>Renata Francisco Becker</t>
        </is>
      </c>
      <c r="E147" s="44" t="n">
        <v>44701</v>
      </c>
      <c r="F147" s="41" t="inlineStr">
        <is>
          <t>Juizo Da 1ª Vara Da Comarca De Icara</t>
        </is>
      </c>
      <c r="G147" s="41" t="n"/>
      <c r="I147" s="41" t="inlineStr">
        <is>
          <t>5006782-58.2025.8.24.0020</t>
        </is>
      </c>
      <c r="J147" s="41" t="inlineStr">
        <is>
          <t>Tarefa</t>
        </is>
      </c>
      <c r="K147" s="44" t="n">
        <v>46036</v>
      </c>
      <c r="L147" s="41" t="inlineStr">
        <is>
          <t xml:space="preserve">Alexia </t>
        </is>
      </c>
      <c r="M147" s="40" t="inlineStr">
        <is>
          <t>Cumprido</t>
        </is>
      </c>
      <c r="N147" s="44" t="n">
        <v>46036</v>
      </c>
      <c r="O147" s="41" t="inlineStr">
        <is>
          <t>Elaboração</t>
        </is>
      </c>
    </row>
    <row r="148" ht="18" customHeight="1">
      <c r="A148" s="40" t="inlineStr">
        <is>
          <t>1003108-18.2024.8.26.0539</t>
        </is>
      </c>
      <c r="B148" s="40" t="inlineStr">
        <is>
          <t>Outras</t>
        </is>
      </c>
      <c r="C148" s="41" t="n"/>
      <c r="D148" s="41" t="inlineStr">
        <is>
          <t>Renata Francisco Becker</t>
        </is>
      </c>
      <c r="E148" s="44" t="n">
        <v>45764</v>
      </c>
      <c r="F148" s="41" t="inlineStr">
        <is>
          <t>Vara Cível</t>
        </is>
      </c>
      <c r="G148" s="41" t="n"/>
      <c r="I148" s="41" t="inlineStr">
        <is>
          <t>50097130520238240020</t>
        </is>
      </c>
      <c r="J148" s="41" t="inlineStr">
        <is>
          <t>Tarefa</t>
        </is>
      </c>
      <c r="K148" s="44" t="n">
        <v>46036</v>
      </c>
      <c r="L148" s="41" t="inlineStr">
        <is>
          <t xml:space="preserve">Alexia </t>
        </is>
      </c>
      <c r="M148" s="40" t="inlineStr">
        <is>
          <t>Cumprido</t>
        </is>
      </c>
      <c r="N148" s="44" t="n">
        <v>46036</v>
      </c>
      <c r="O148" s="41" t="inlineStr">
        <is>
          <t>Elaboração</t>
        </is>
      </c>
    </row>
    <row r="149" ht="18" customHeight="1">
      <c r="A149" s="40" t="inlineStr">
        <is>
          <t>50275105720248240020</t>
        </is>
      </c>
      <c r="B149" s="40" t="inlineStr">
        <is>
          <t>Outras</t>
        </is>
      </c>
      <c r="C149" s="41" t="n"/>
      <c r="D149" s="41" t="inlineStr">
        <is>
          <t>Pedro Victor</t>
        </is>
      </c>
      <c r="E149" s="44" t="n">
        <v>45513</v>
      </c>
      <c r="F149" s="41" t="inlineStr"/>
      <c r="G149" s="41" t="n"/>
      <c r="I149" s="41" t="inlineStr"/>
      <c r="J149" s="41" t="inlineStr">
        <is>
          <t>Tarefa</t>
        </is>
      </c>
      <c r="K149" s="44" t="n">
        <v>46036</v>
      </c>
      <c r="L149" s="41" t="inlineStr">
        <is>
          <t>Renata Francisco Becker</t>
        </is>
      </c>
      <c r="M149" s="40" t="inlineStr">
        <is>
          <t>Cumprido</t>
        </is>
      </c>
      <c r="N149" s="44" t="n">
        <v>46036</v>
      </c>
      <c r="O149" s="41" t="inlineStr">
        <is>
          <t>Finalização</t>
        </is>
      </c>
    </row>
    <row r="150" ht="18" customHeight="1">
      <c r="A150" s="40" t="inlineStr">
        <is>
          <t>5029750-82.2025.8.24.0020</t>
        </is>
      </c>
      <c r="B150" s="40" t="inlineStr">
        <is>
          <t>Outras</t>
        </is>
      </c>
      <c r="C150" s="41" t="n"/>
      <c r="D150" s="41" t="inlineStr">
        <is>
          <t>Pedro Victor</t>
        </is>
      </c>
      <c r="E150" s="44" t="n">
        <v>45943</v>
      </c>
      <c r="F150" s="41" t="inlineStr"/>
      <c r="G150" s="41" t="n"/>
      <c r="I150" s="41" t="inlineStr">
        <is>
          <t>5030853-27.2025.8.24.0020</t>
        </is>
      </c>
      <c r="J150" s="41" t="inlineStr">
        <is>
          <t>Tarefa</t>
        </is>
      </c>
      <c r="K150" s="44" t="n">
        <v>46036</v>
      </c>
      <c r="L150" s="41" t="inlineStr">
        <is>
          <t>Jessica</t>
        </is>
      </c>
      <c r="M150" s="40" t="inlineStr">
        <is>
          <t>Cumprido</t>
        </is>
      </c>
      <c r="N150" s="44" t="n">
        <v>46036</v>
      </c>
      <c r="O150" s="41" t="inlineStr">
        <is>
          <t>Protocolo</t>
        </is>
      </c>
    </row>
    <row r="151" ht="18" customHeight="1">
      <c r="A151" s="40" t="inlineStr">
        <is>
          <t>50298694320258240020</t>
        </is>
      </c>
      <c r="B151" s="40" t="inlineStr">
        <is>
          <t>Outras</t>
        </is>
      </c>
      <c r="C151" s="41" t="n"/>
      <c r="D151" s="41" t="inlineStr">
        <is>
          <t>Marelize Controladoria</t>
        </is>
      </c>
      <c r="E151" s="44" t="n">
        <v>46038</v>
      </c>
      <c r="F151" s="41" t="inlineStr">
        <is>
          <t>Juízo da 2ª Vara Cível da Comarca de Criciúma</t>
        </is>
      </c>
      <c r="G151" s="41" t="n"/>
      <c r="I151" s="41" t="inlineStr">
        <is>
          <t>5011984-50.2024.8.24.0020</t>
        </is>
      </c>
      <c r="J151" s="41" t="inlineStr">
        <is>
          <t>Tarefa</t>
        </is>
      </c>
      <c r="K151" s="44" t="n">
        <v>46036</v>
      </c>
      <c r="L151" s="41" t="inlineStr">
        <is>
          <t>Renata Francisco Becker</t>
        </is>
      </c>
      <c r="M151" s="40" t="inlineStr">
        <is>
          <t>Cumprido</t>
        </is>
      </c>
      <c r="N151" s="44" t="n">
        <v>46036</v>
      </c>
      <c r="O151" s="41" t="inlineStr">
        <is>
          <t>Protocolo</t>
        </is>
      </c>
    </row>
    <row r="152" ht="18" customHeight="1">
      <c r="A152" s="40" t="inlineStr">
        <is>
          <t>5001883-46.2021.8.24.0282</t>
        </is>
      </c>
      <c r="B152" s="40" t="inlineStr">
        <is>
          <t>Outras</t>
        </is>
      </c>
      <c r="C152" s="41" t="n"/>
      <c r="D152" s="41" t="inlineStr">
        <is>
          <t>Renata Francisco Becker</t>
        </is>
      </c>
      <c r="E152" s="44" t="n">
        <v>45873</v>
      </c>
      <c r="F152" s="41" t="inlineStr">
        <is>
          <t>Juizado Especial Regional da Fazenda Pública</t>
        </is>
      </c>
      <c r="G152" s="41" t="n"/>
      <c r="I152" s="41" t="inlineStr">
        <is>
          <t>0003005-61.2025.8.16.0154</t>
        </is>
      </c>
      <c r="J152" s="41" t="inlineStr">
        <is>
          <t>Tarefa</t>
        </is>
      </c>
      <c r="K152" s="44" t="n">
        <v>46036</v>
      </c>
      <c r="L152" s="41" t="inlineStr">
        <is>
          <t>Renata Francisco Becker</t>
        </is>
      </c>
      <c r="M152" s="40" t="inlineStr">
        <is>
          <t>Cumprido</t>
        </is>
      </c>
      <c r="N152" s="44" t="n">
        <v>46036</v>
      </c>
      <c r="O152" s="41" t="inlineStr">
        <is>
          <t>Protocolo</t>
        </is>
      </c>
    </row>
    <row r="153" ht="18" customHeight="1">
      <c r="A153" s="40" t="n"/>
      <c r="B153" s="40" t="inlineStr">
        <is>
          <t>Outras</t>
        </is>
      </c>
      <c r="C153" s="41" t="n"/>
      <c r="D153" s="41" t="inlineStr">
        <is>
          <t>Pedro Victor</t>
        </is>
      </c>
      <c r="E153" s="44" t="n">
        <v>45782</v>
      </c>
      <c r="F153" s="41" t="n"/>
      <c r="G153" s="41" t="n"/>
      <c r="I153" s="41" t="inlineStr">
        <is>
          <t>5000966-52.2024.8.24.0078</t>
        </is>
      </c>
      <c r="J153" s="41" t="inlineStr">
        <is>
          <t>Tarefa</t>
        </is>
      </c>
      <c r="K153" s="44" t="n">
        <v>46036</v>
      </c>
      <c r="L153" s="41" t="inlineStr">
        <is>
          <t xml:space="preserve">Alexia </t>
        </is>
      </c>
      <c r="M153" s="40" t="inlineStr">
        <is>
          <t>Cumprido</t>
        </is>
      </c>
      <c r="N153" s="44" t="n">
        <v>46036</v>
      </c>
      <c r="O153" s="41" t="inlineStr">
        <is>
          <t>Protocolo</t>
        </is>
      </c>
    </row>
    <row r="154" ht="18" customHeight="1">
      <c r="A154" s="40" t="n"/>
      <c r="B154" s="40" t="inlineStr">
        <is>
          <t>Outras</t>
        </is>
      </c>
      <c r="C154" s="41" t="n"/>
      <c r="D154" s="41" t="inlineStr">
        <is>
          <t>Marelize Controladoria</t>
        </is>
      </c>
      <c r="E154" s="44" t="n">
        <v>46083</v>
      </c>
      <c r="F154" s="41" t="n"/>
      <c r="G154" s="41" t="n"/>
      <c r="I154" s="41" t="inlineStr"/>
      <c r="J154" s="41" t="inlineStr">
        <is>
          <t>Tarefa</t>
        </is>
      </c>
      <c r="K154" s="44" t="n">
        <v>46036</v>
      </c>
      <c r="L154" s="41" t="inlineStr">
        <is>
          <t>Renata Francisco Becker</t>
        </is>
      </c>
      <c r="M154" s="40" t="inlineStr">
        <is>
          <t>Cumprido</t>
        </is>
      </c>
      <c r="N154" s="44" t="n">
        <v>46036</v>
      </c>
      <c r="O154" s="41" t="inlineStr">
        <is>
          <t>Protocolo</t>
        </is>
      </c>
    </row>
    <row r="155" ht="18" customHeight="1">
      <c r="A155" s="40" t="inlineStr">
        <is>
          <t>50008495520258240004</t>
        </is>
      </c>
      <c r="B155" s="40" t="inlineStr">
        <is>
          <t>Outras</t>
        </is>
      </c>
      <c r="C155" s="41" t="n"/>
      <c r="D155" s="41" t="inlineStr">
        <is>
          <t>Renata Francisco Becker</t>
        </is>
      </c>
      <c r="E155" s="44" t="n">
        <v>45755</v>
      </c>
      <c r="F155" s="41" t="inlineStr">
        <is>
          <t>Vara Cível</t>
        </is>
      </c>
      <c r="G155" s="41" t="n"/>
      <c r="I155" s="41" t="inlineStr">
        <is>
          <t>40013348420268260100</t>
        </is>
      </c>
      <c r="J155" s="41" t="inlineStr">
        <is>
          <t>Tarefa</t>
        </is>
      </c>
      <c r="K155" s="44" t="n">
        <v>46036</v>
      </c>
      <c r="L155" s="41" t="inlineStr">
        <is>
          <t>Renata Francisco Becker</t>
        </is>
      </c>
      <c r="M155" s="40" t="inlineStr">
        <is>
          <t>Cumprido</t>
        </is>
      </c>
      <c r="N155" s="44" t="n">
        <v>46036</v>
      </c>
      <c r="O155" s="41" t="inlineStr">
        <is>
          <t>cadastrar e emitir guia - MMC MONTO</t>
        </is>
      </c>
    </row>
    <row r="156" ht="18" customHeight="1">
      <c r="A156" s="40" t="inlineStr">
        <is>
          <t>5000540-03.2026.4.04.0000</t>
        </is>
      </c>
      <c r="B156" s="40" t="inlineStr">
        <is>
          <t>Outras</t>
        </is>
      </c>
      <c r="C156" s="41" t="n"/>
      <c r="D156" s="41" t="inlineStr">
        <is>
          <t>Marelize Controladoria</t>
        </is>
      </c>
      <c r="E156" s="44" t="n">
        <v>46037</v>
      </c>
      <c r="F156" s="41" t="inlineStr">
        <is>
          <t>GAB.  12 (Des. Federal LEANDRO PAULSEN)</t>
        </is>
      </c>
      <c r="G156" s="41" t="n"/>
      <c r="I156" s="41" t="inlineStr">
        <is>
          <t>50127492120248240020</t>
        </is>
      </c>
      <c r="J156" s="41" t="inlineStr">
        <is>
          <t>Tarefa</t>
        </is>
      </c>
      <c r="K156" s="44" t="n">
        <v>46036</v>
      </c>
      <c r="L156" s="41" t="inlineStr">
        <is>
          <t xml:space="preserve">Alexia </t>
        </is>
      </c>
      <c r="M156" s="40" t="inlineStr">
        <is>
          <t>Cumprido</t>
        </is>
      </c>
      <c r="N156" s="44" t="n">
        <v>46036</v>
      </c>
      <c r="O156" s="41" t="inlineStr">
        <is>
          <t>Revisão</t>
        </is>
      </c>
    </row>
    <row r="157" ht="18" customHeight="1">
      <c r="A157" s="40" t="inlineStr">
        <is>
          <t>5002415-45.2025.4.03.6119</t>
        </is>
      </c>
      <c r="B157" s="40" t="inlineStr">
        <is>
          <t>Outras</t>
        </is>
      </c>
      <c r="C157" s="41" t="n"/>
      <c r="D157" s="41" t="inlineStr">
        <is>
          <t>Luci</t>
        </is>
      </c>
      <c r="E157" s="44" t="n">
        <v>45700</v>
      </c>
      <c r="F157" s="41" t="inlineStr">
        <is>
          <t>Vara Federal</t>
        </is>
      </c>
      <c r="G157" s="41" t="n"/>
      <c r="I157" s="41" t="inlineStr">
        <is>
          <t>5009605-05.2025.8.24.0020</t>
        </is>
      </c>
      <c r="J157" s="41" t="inlineStr">
        <is>
          <t>Tarefa</t>
        </is>
      </c>
      <c r="K157" s="44" t="n">
        <v>46036</v>
      </c>
      <c r="L157" s="41" t="inlineStr">
        <is>
          <t>Julia</t>
        </is>
      </c>
      <c r="M157" s="40" t="inlineStr">
        <is>
          <t>Cumprido</t>
        </is>
      </c>
      <c r="N157" s="44" t="n">
        <v>46036</v>
      </c>
      <c r="O157" s="41" t="inlineStr">
        <is>
          <t>Revisão</t>
        </is>
      </c>
    </row>
    <row r="158" ht="18" customHeight="1">
      <c r="A158" s="40" t="inlineStr">
        <is>
          <t>5013028-75.2022.8.24.0020</t>
        </is>
      </c>
      <c r="B158" s="40" t="inlineStr">
        <is>
          <t>Outras</t>
        </is>
      </c>
      <c r="C158" s="41" t="n"/>
      <c r="D158" s="41" t="inlineStr">
        <is>
          <t>Renata Francisco Becker</t>
        </is>
      </c>
      <c r="E158" s="44" t="n">
        <v>44727</v>
      </c>
      <c r="F158" s="41" t="inlineStr">
        <is>
          <t>Juízo da 2ª Vara da Fazenda Pública da Comarca de Criciúma</t>
        </is>
      </c>
      <c r="G158" s="41" t="n"/>
      <c r="I158" s="41" t="inlineStr">
        <is>
          <t>50127492120248240020</t>
        </is>
      </c>
      <c r="J158" s="41" t="inlineStr">
        <is>
          <t>Tarefa</t>
        </is>
      </c>
      <c r="K158" s="44" t="n">
        <v>46036</v>
      </c>
      <c r="L158" s="41" t="inlineStr">
        <is>
          <t>Renata Francisco Becker</t>
        </is>
      </c>
      <c r="M158" s="40" t="inlineStr">
        <is>
          <t>Cumprido</t>
        </is>
      </c>
      <c r="N158" s="44" t="n">
        <v>46036</v>
      </c>
      <c r="O158" s="41" t="inlineStr">
        <is>
          <t>Revisão</t>
        </is>
      </c>
    </row>
    <row r="159" ht="18" customHeight="1">
      <c r="A159" s="40" t="inlineStr">
        <is>
          <t>5002870-03.2025.8.24.0166</t>
        </is>
      </c>
      <c r="B159" s="40" t="inlineStr">
        <is>
          <t>Outras</t>
        </is>
      </c>
      <c r="C159" s="41" t="n"/>
      <c r="D159" s="41" t="inlineStr">
        <is>
          <t>Renata Francisco Becker</t>
        </is>
      </c>
      <c r="E159" s="44" t="n">
        <v>45986</v>
      </c>
      <c r="F159" s="41" t="inlineStr"/>
      <c r="G159" s="41" t="n"/>
      <c r="I159" s="41" t="inlineStr">
        <is>
          <t>5002869-18.2025.8.24.0166</t>
        </is>
      </c>
      <c r="J159" s="41" t="inlineStr">
        <is>
          <t>Tarefa</t>
        </is>
      </c>
      <c r="K159" s="44" t="n">
        <v>46036</v>
      </c>
      <c r="L159" s="41" t="inlineStr">
        <is>
          <t>Renata Francisco Becker</t>
        </is>
      </c>
      <c r="M159" s="40" t="inlineStr">
        <is>
          <t>Cumprido</t>
        </is>
      </c>
      <c r="N159" s="44" t="n">
        <v>46036</v>
      </c>
      <c r="O159" s="41" t="inlineStr">
        <is>
          <t>Revisão</t>
        </is>
      </c>
    </row>
    <row r="160" ht="18" customHeight="1">
      <c r="A160" s="40" t="inlineStr">
        <is>
          <t>50269221620258240020</t>
        </is>
      </c>
      <c r="B160" s="40" t="inlineStr">
        <is>
          <t>Outras</t>
        </is>
      </c>
      <c r="C160" s="41" t="n"/>
      <c r="D160" s="41" t="inlineStr">
        <is>
          <t>Pedro Victor</t>
        </is>
      </c>
      <c r="E160" s="44" t="n">
        <v>45716</v>
      </c>
      <c r="F160" s="41" t="inlineStr">
        <is>
          <t>Juízo da 1ª Vara da Fazenda Pública da Comarca de Criciúma</t>
        </is>
      </c>
      <c r="G160" s="41" t="n"/>
      <c r="I160" s="41" t="inlineStr">
        <is>
          <t>5002869-18.2025.8.24.0166</t>
        </is>
      </c>
      <c r="J160" s="41" t="inlineStr">
        <is>
          <t>Tarefa</t>
        </is>
      </c>
      <c r="K160" s="44" t="n">
        <v>46036</v>
      </c>
      <c r="L160" s="41" t="inlineStr">
        <is>
          <t>Jessica</t>
        </is>
      </c>
      <c r="M160" s="40" t="inlineStr">
        <is>
          <t>Cumprido</t>
        </is>
      </c>
      <c r="N160" s="44" t="n">
        <v>46036</v>
      </c>
      <c r="O160" s="41" t="inlineStr">
        <is>
          <t>Revisão</t>
        </is>
      </c>
    </row>
    <row r="161" ht="18" customHeight="1">
      <c r="A161" s="40" t="inlineStr">
        <is>
          <t>0001324-12.2025.5.12.0027</t>
        </is>
      </c>
      <c r="B161" s="40" t="inlineStr">
        <is>
          <t>Outras</t>
        </is>
      </c>
      <c r="C161" s="41" t="n"/>
      <c r="D161" s="41" t="inlineStr">
        <is>
          <t xml:space="preserve">Lucas </t>
        </is>
      </c>
      <c r="E161" s="44" t="n">
        <v>45946</v>
      </c>
      <c r="F161" s="41" t="inlineStr">
        <is>
          <t>Vara do Trabalho</t>
        </is>
      </c>
      <c r="G161" s="41" t="n"/>
      <c r="I161" s="41" t="inlineStr"/>
      <c r="J161" s="41" t="inlineStr">
        <is>
          <t>Tarefa</t>
        </is>
      </c>
      <c r="K161" s="44" t="n">
        <v>46036</v>
      </c>
      <c r="L161" s="41" t="inlineStr">
        <is>
          <t>Renata Francisco Becker</t>
        </is>
      </c>
      <c r="M161" s="40" t="inlineStr">
        <is>
          <t>Cumprido</t>
        </is>
      </c>
      <c r="N161" s="44" t="n">
        <v>46036</v>
      </c>
      <c r="O161" s="41" t="inlineStr">
        <is>
          <t>cancelar nextcloud.</t>
        </is>
      </c>
    </row>
    <row r="162" ht="18" customHeight="1">
      <c r="A162" s="40" t="inlineStr">
        <is>
          <t>5012524-64.2025.8.24.0020</t>
        </is>
      </c>
      <c r="B162" s="40" t="inlineStr">
        <is>
          <t>Outras</t>
        </is>
      </c>
      <c r="C162" s="41" t="n"/>
      <c r="D162" s="41" t="inlineStr">
        <is>
          <t>Renata Francisco Becker</t>
        </is>
      </c>
      <c r="E162" s="44" t="n">
        <v>45876</v>
      </c>
      <c r="F162" s="41" t="inlineStr"/>
      <c r="G162" s="41" t="n"/>
      <c r="I162" s="41" t="inlineStr"/>
      <c r="J162" s="41" t="inlineStr">
        <is>
          <t>Tarefa</t>
        </is>
      </c>
      <c r="K162" s="44" t="n">
        <v>46036</v>
      </c>
      <c r="L162" s="41" t="inlineStr">
        <is>
          <t>Julia</t>
        </is>
      </c>
      <c r="M162" s="40" t="inlineStr">
        <is>
          <t>Cumprido</t>
        </is>
      </c>
      <c r="N162" s="44" t="n">
        <v>46036</v>
      </c>
      <c r="O162" s="41" t="inlineStr">
        <is>
          <t>Elaboração</t>
        </is>
      </c>
    </row>
    <row r="163" ht="18" customHeight="1">
      <c r="A163" s="40" t="inlineStr">
        <is>
          <t>5029778-84.2024.8.24.0020</t>
        </is>
      </c>
      <c r="B163" s="40" t="inlineStr">
        <is>
          <t>Outras</t>
        </is>
      </c>
      <c r="C163" s="41" t="n"/>
      <c r="D163" s="41" t="inlineStr">
        <is>
          <t>Renata Francisco Becker</t>
        </is>
      </c>
      <c r="E163" s="44" t="n">
        <v>45511</v>
      </c>
      <c r="F163" s="41" t="inlineStr">
        <is>
          <t>Vara Cível</t>
        </is>
      </c>
      <c r="G163" s="41" t="n"/>
      <c r="I163" s="41" t="inlineStr"/>
      <c r="J163" s="41" t="inlineStr">
        <is>
          <t>Tarefa</t>
        </is>
      </c>
      <c r="K163" s="44" t="n">
        <v>46036</v>
      </c>
      <c r="L163" s="41" t="inlineStr">
        <is>
          <t>Julia</t>
        </is>
      </c>
      <c r="M163" s="40" t="inlineStr">
        <is>
          <t>Cumprido</t>
        </is>
      </c>
      <c r="N163" s="44" t="n">
        <v>46036</v>
      </c>
      <c r="O163" s="41" t="inlineStr">
        <is>
          <t xml:space="preserve">Fazer inicial de cobrança
</t>
        </is>
      </c>
    </row>
    <row r="164" ht="18" customHeight="1">
      <c r="A164" s="40" t="inlineStr">
        <is>
          <t>0800058-51.2025.8.14.0123</t>
        </is>
      </c>
      <c r="B164" s="40" t="inlineStr">
        <is>
          <t>Outras</t>
        </is>
      </c>
      <c r="C164" s="41" t="n"/>
      <c r="D164" s="41" t="inlineStr">
        <is>
          <t>Renata Francisco Becker</t>
        </is>
      </c>
      <c r="E164" s="44" t="n">
        <v>45755</v>
      </c>
      <c r="F164" s="41" t="inlineStr">
        <is>
          <t>Juizo da Vara Única</t>
        </is>
      </c>
      <c r="G164" s="41" t="n"/>
      <c r="I164" s="41" t="inlineStr"/>
      <c r="J164" s="41" t="inlineStr">
        <is>
          <t>Tarefa</t>
        </is>
      </c>
      <c r="K164" s="44" t="n">
        <v>46036</v>
      </c>
      <c r="L164" s="41" t="inlineStr">
        <is>
          <t>Pedro Victor</t>
        </is>
      </c>
      <c r="M164" s="40" t="inlineStr">
        <is>
          <t>Cumprido</t>
        </is>
      </c>
      <c r="N164" s="44" t="n">
        <v>46036</v>
      </c>
      <c r="O164" s="41" t="inlineStr">
        <is>
          <t xml:space="preserve">Fazer um contrato de representação comercial como solicitado pelo iver </t>
        </is>
      </c>
    </row>
    <row r="165" ht="18" customHeight="1">
      <c r="A165" s="40" t="inlineStr">
        <is>
          <t>50236909820228240020</t>
        </is>
      </c>
      <c r="B165" s="40" t="inlineStr">
        <is>
          <t>Outras</t>
        </is>
      </c>
      <c r="C165" s="41" t="n"/>
      <c r="D165" s="41" t="inlineStr">
        <is>
          <t>Pedro Victor</t>
        </is>
      </c>
      <c r="E165" s="44" t="n">
        <v>45636</v>
      </c>
      <c r="F165" s="41" t="inlineStr">
        <is>
          <t>Juízo da 2ª Vara Cível da Comarca de Criciúma</t>
        </is>
      </c>
      <c r="G165" s="41" t="n"/>
      <c r="I165" s="41" t="inlineStr"/>
      <c r="J165" s="41" t="inlineStr">
        <is>
          <t>Tarefa</t>
        </is>
      </c>
      <c r="K165" s="44" t="n">
        <v>46036</v>
      </c>
      <c r="L165" s="41" t="inlineStr">
        <is>
          <t>Julia</t>
        </is>
      </c>
      <c r="M165" s="40" t="inlineStr">
        <is>
          <t>Cumprido</t>
        </is>
      </c>
      <c r="N165" s="44" t="n">
        <v>46036</v>
      </c>
      <c r="O165" s="41" t="inlineStr">
        <is>
          <t>Finalização</t>
        </is>
      </c>
    </row>
    <row r="166" ht="18" customHeight="1">
      <c r="A166" s="40" t="inlineStr">
        <is>
          <t>5030361-40.2022.8.24.0020</t>
        </is>
      </c>
      <c r="B166" s="40" t="inlineStr">
        <is>
          <t>Outras</t>
        </is>
      </c>
      <c r="C166" s="41" t="n"/>
      <c r="D166" s="41" t="inlineStr">
        <is>
          <t>Renata Francisco Becker</t>
        </is>
      </c>
      <c r="E166" s="44" t="n">
        <v>45343</v>
      </c>
      <c r="F166" s="41" t="inlineStr"/>
      <c r="G166" s="41" t="n"/>
      <c r="I166" s="41" t="inlineStr"/>
      <c r="J166" s="41" t="inlineStr">
        <is>
          <t>Tarefa</t>
        </is>
      </c>
      <c r="K166" s="44" t="n">
        <v>46036</v>
      </c>
      <c r="L166" s="41" t="inlineStr">
        <is>
          <t xml:space="preserve">Lucas </t>
        </is>
      </c>
      <c r="M166" s="40" t="inlineStr">
        <is>
          <t>Cumprido</t>
        </is>
      </c>
      <c r="N166" s="44" t="n">
        <v>46036</v>
      </c>
      <c r="O166" s="41" t="inlineStr">
        <is>
          <t>informar o cliente que a rúbrica de salário família não está indo na folha de pagamento. Repassar para o cliente solicitar para contabilidade colocar essa rúbrica nos holerites do funcionário que recebem o salário família.</t>
        </is>
      </c>
    </row>
    <row r="167" ht="18" customHeight="1">
      <c r="A167" s="40" t="inlineStr">
        <is>
          <t>5006502-44.2023.8.24.0930</t>
        </is>
      </c>
      <c r="B167" s="40" t="inlineStr">
        <is>
          <t>Outras</t>
        </is>
      </c>
      <c r="C167" s="41" t="n"/>
      <c r="D167" s="41" t="inlineStr">
        <is>
          <t>Renata Francisco Becker</t>
        </is>
      </c>
      <c r="E167" s="44" t="n">
        <v>45754</v>
      </c>
      <c r="F167" s="41" t="inlineStr"/>
      <c r="G167" s="41" t="n"/>
      <c r="I167" s="41" t="inlineStr">
        <is>
          <t>50095214320218240020</t>
        </is>
      </c>
      <c r="J167" s="41" t="inlineStr">
        <is>
          <t>Tarefa</t>
        </is>
      </c>
      <c r="K167" s="44" t="n">
        <v>46036</v>
      </c>
      <c r="L167" s="41" t="inlineStr">
        <is>
          <t>Julia</t>
        </is>
      </c>
      <c r="M167" s="40" t="inlineStr">
        <is>
          <t>Cumprido</t>
        </is>
      </c>
      <c r="N167" s="44" t="n">
        <v>46036</v>
      </c>
      <c r="O167" s="41" t="inlineStr">
        <is>
          <t>Prazo - emissão de guia</t>
        </is>
      </c>
    </row>
    <row r="168" ht="18" customHeight="1">
      <c r="A168" s="40" t="inlineStr">
        <is>
          <t>5015578-86.2025.8.24.0004</t>
        </is>
      </c>
      <c r="B168" s="40" t="inlineStr">
        <is>
          <t>Outras</t>
        </is>
      </c>
      <c r="C168" s="41" t="n"/>
      <c r="D168" s="41" t="inlineStr">
        <is>
          <t>Renata Francisco Becker</t>
        </is>
      </c>
      <c r="E168" s="44" t="n">
        <v>45951</v>
      </c>
      <c r="F168" s="41" t="inlineStr">
        <is>
          <t>2° Vara Civil</t>
        </is>
      </c>
      <c r="G168" s="41" t="n"/>
      <c r="I168" s="41" t="inlineStr"/>
      <c r="J168" s="41" t="inlineStr">
        <is>
          <t>Tarefa</t>
        </is>
      </c>
      <c r="K168" s="44" t="n">
        <v>46036</v>
      </c>
      <c r="L168" s="41" t="inlineStr">
        <is>
          <t>Julia</t>
        </is>
      </c>
      <c r="M168" s="40" t="inlineStr">
        <is>
          <t>Cumprido</t>
        </is>
      </c>
      <c r="N168" s="44" t="n">
        <v>46036</v>
      </c>
      <c r="O168" s="41" t="inlineStr">
        <is>
          <t>revisar contrato padrão COLOMBO</t>
        </is>
      </c>
    </row>
    <row r="169" ht="18" customHeight="1">
      <c r="A169" s="40" t="inlineStr">
        <is>
          <t>5005909-75.2018.4.04.7204</t>
        </is>
      </c>
      <c r="B169" s="40" t="inlineStr">
        <is>
          <t>Outras</t>
        </is>
      </c>
      <c r="C169" s="41" t="n"/>
      <c r="D169" s="41" t="inlineStr">
        <is>
          <t>Renata Francisco Becker</t>
        </is>
      </c>
      <c r="E169" s="44" t="n">
        <v>44741</v>
      </c>
      <c r="F169" s="41" t="inlineStr">
        <is>
          <t>Juízo Substituto da 4ª VF de Criciúma</t>
        </is>
      </c>
      <c r="G169" s="41" t="n"/>
      <c r="I169" s="41" t="inlineStr"/>
      <c r="J169" s="41" t="inlineStr">
        <is>
          <t>Tarefa</t>
        </is>
      </c>
      <c r="K169" s="44" t="n">
        <v>46036</v>
      </c>
      <c r="L169" s="41" t="inlineStr">
        <is>
          <t>Julia</t>
        </is>
      </c>
      <c r="M169" s="40" t="inlineStr">
        <is>
          <t>Cumprido</t>
        </is>
      </c>
      <c r="N169" s="44" t="n">
        <v>46036</v>
      </c>
      <c r="O169" s="41" t="inlineStr">
        <is>
          <t>Revisão</t>
        </is>
      </c>
    </row>
    <row r="170" ht="18" customHeight="1">
      <c r="A170" s="40" t="n"/>
      <c r="B170" s="40" t="inlineStr">
        <is>
          <t>Outras</t>
        </is>
      </c>
      <c r="C170" s="41" t="n"/>
      <c r="D170" s="41" t="inlineStr">
        <is>
          <t>Marelize Controladoria</t>
        </is>
      </c>
      <c r="E170" s="44" t="n">
        <v>46036</v>
      </c>
      <c r="F170" s="41" t="n"/>
      <c r="G170" s="41" t="n"/>
      <c r="I170" s="41" t="inlineStr"/>
      <c r="J170" s="41" t="inlineStr">
        <is>
          <t>Evento</t>
        </is>
      </c>
      <c r="K170" s="44" t="n">
        <v>46036</v>
      </c>
      <c r="L170" s="41" t="inlineStr">
        <is>
          <t>Marelize Controladoria</t>
        </is>
      </c>
      <c r="M170" s="40" t="inlineStr">
        <is>
          <t>Cumprido</t>
        </is>
      </c>
      <c r="N170" s="44" t="n">
        <v>46036</v>
      </c>
      <c r="O170" s="41" t="inlineStr">
        <is>
          <t xml:space="preserve">Reunião com Marcos </t>
        </is>
      </c>
    </row>
    <row r="171" ht="18" customHeight="1">
      <c r="A171" s="40" t="inlineStr">
        <is>
          <t>50239155020248240020</t>
        </is>
      </c>
      <c r="B171" s="40" t="inlineStr">
        <is>
          <t>Outras</t>
        </is>
      </c>
      <c r="C171" s="41" t="n"/>
      <c r="D171" s="41" t="inlineStr">
        <is>
          <t>Renata Francisco Becker</t>
        </is>
      </c>
      <c r="E171" s="44" t="n">
        <v>45639</v>
      </c>
      <c r="F171" s="41" t="inlineStr">
        <is>
          <t>Vara Cível</t>
        </is>
      </c>
      <c r="G171" s="41" t="n"/>
      <c r="I171" s="41" t="inlineStr"/>
      <c r="J171" s="41" t="inlineStr">
        <is>
          <t>Evento</t>
        </is>
      </c>
      <c r="K171" s="44" t="n">
        <v>46036</v>
      </c>
      <c r="L171" s="41" t="inlineStr">
        <is>
          <t>Marelize Controladoria</t>
        </is>
      </c>
      <c r="M171" s="40" t="inlineStr">
        <is>
          <t>Cumprido</t>
        </is>
      </c>
      <c r="N171" s="44" t="n">
        <v>46036</v>
      </c>
      <c r="O171" s="41" t="inlineStr">
        <is>
          <t>Reunião com Karia</t>
        </is>
      </c>
    </row>
    <row r="172" ht="18" customHeight="1">
      <c r="A172" s="40" t="inlineStr">
        <is>
          <t>5000620-97.2026.8.21.0019</t>
        </is>
      </c>
      <c r="B172" s="40" t="inlineStr">
        <is>
          <t>Outras</t>
        </is>
      </c>
      <c r="C172" s="41" t="n"/>
      <c r="D172" s="41" t="inlineStr">
        <is>
          <t>Renata Francisco Becker</t>
        </is>
      </c>
      <c r="E172" s="44" t="n">
        <v>46037</v>
      </c>
      <c r="F172" s="41" t="inlineStr">
        <is>
          <t>3° Vara Civel</t>
        </is>
      </c>
      <c r="G172" s="41" t="n"/>
      <c r="I172" s="41" t="inlineStr"/>
      <c r="J172" s="41" t="inlineStr">
        <is>
          <t>Evento</t>
        </is>
      </c>
      <c r="K172" s="44" t="n">
        <v>46036</v>
      </c>
      <c r="L172" s="41" t="inlineStr">
        <is>
          <t>Marelize Controladoria</t>
        </is>
      </c>
      <c r="M172" s="40" t="inlineStr">
        <is>
          <t>Cumprido</t>
        </is>
      </c>
      <c r="N172" s="44" t="n">
        <v>46036</v>
      </c>
      <c r="O172" s="41" t="inlineStr">
        <is>
          <t>Reunião Expresso Marília</t>
        </is>
      </c>
    </row>
    <row r="173" ht="18" customHeight="1">
      <c r="A173" s="40" t="n"/>
      <c r="B173" s="40" t="inlineStr">
        <is>
          <t>Outras</t>
        </is>
      </c>
      <c r="C173" s="41" t="n"/>
      <c r="D173" s="41" t="inlineStr">
        <is>
          <t>Pedro Victor</t>
        </is>
      </c>
      <c r="E173" s="44" t="n">
        <v>46098</v>
      </c>
      <c r="F173" s="41" t="n"/>
      <c r="G173" s="41" t="n"/>
      <c r="I173" s="41" t="inlineStr"/>
      <c r="J173" s="41" t="inlineStr">
        <is>
          <t>Evento</t>
        </is>
      </c>
      <c r="K173" s="44" t="n">
        <v>46036</v>
      </c>
      <c r="L173" s="41" t="inlineStr">
        <is>
          <t>Marelize Controladoria</t>
        </is>
      </c>
      <c r="M173" s="40" t="inlineStr">
        <is>
          <t>Cumprido</t>
        </is>
      </c>
      <c r="N173" s="44" t="n">
        <v>46036</v>
      </c>
      <c r="O173" s="41" t="inlineStr">
        <is>
          <t>Reunião Sijocato dos Metalúrgicos</t>
        </is>
      </c>
    </row>
    <row r="174" ht="18" customHeight="1">
      <c r="A174" s="40" t="n"/>
      <c r="B174" s="40" t="inlineStr">
        <is>
          <t>Outras</t>
        </is>
      </c>
      <c r="C174" s="41" t="n"/>
      <c r="D174" s="41" t="inlineStr">
        <is>
          <t>Pedro Victor</t>
        </is>
      </c>
      <c r="E174" s="44" t="n">
        <v>46097</v>
      </c>
      <c r="F174" s="41" t="n"/>
      <c r="G174" s="41" t="n"/>
      <c r="I174" s="41" t="inlineStr">
        <is>
          <t>5011063-57.2016.4.04.7200</t>
        </is>
      </c>
      <c r="J174" s="41" t="inlineStr">
        <is>
          <t>Evento</t>
        </is>
      </c>
      <c r="K174" s="44" t="n">
        <v>46036</v>
      </c>
      <c r="L174" s="41" t="inlineStr">
        <is>
          <t>Marelize Controladoria</t>
        </is>
      </c>
      <c r="M174" s="40" t="inlineStr">
        <is>
          <t>Cumprido</t>
        </is>
      </c>
      <c r="N174" s="44" t="n">
        <v>46036</v>
      </c>
      <c r="O174" s="41" t="inlineStr">
        <is>
          <t>Atendimento José Jervison</t>
        </is>
      </c>
    </row>
    <row r="175" ht="18" customHeight="1">
      <c r="A175" s="40" t="n"/>
      <c r="B175" s="40" t="inlineStr">
        <is>
          <t>Outras</t>
        </is>
      </c>
      <c r="C175" s="41" t="n"/>
      <c r="D175" s="41" t="inlineStr">
        <is>
          <t>Luci</t>
        </is>
      </c>
      <c r="E175" s="44" t="n">
        <v>45743</v>
      </c>
      <c r="F175" s="41" t="n"/>
      <c r="G175" s="41" t="n"/>
      <c r="I175" s="41" t="inlineStr"/>
      <c r="J175" s="41" t="inlineStr">
        <is>
          <t>Prazo</t>
        </is>
      </c>
      <c r="K175" s="44" t="n">
        <v>46037</v>
      </c>
      <c r="L175" s="41" t="inlineStr">
        <is>
          <t>Julia</t>
        </is>
      </c>
      <c r="M175" s="40" t="inlineStr">
        <is>
          <t>Cumprido</t>
        </is>
      </c>
      <c r="N175" s="44" t="n">
        <v>46037</v>
      </c>
      <c r="O175" s="41" t="inlineStr">
        <is>
          <t>Analise de contratos de mútuo</t>
        </is>
      </c>
    </row>
    <row r="176" ht="18" customHeight="1">
      <c r="A176" s="40" t="n"/>
      <c r="B176" s="40" t="inlineStr">
        <is>
          <t>Outras</t>
        </is>
      </c>
      <c r="C176" s="41" t="n"/>
      <c r="D176" s="41" t="inlineStr">
        <is>
          <t>Marelize Controladoria</t>
        </is>
      </c>
      <c r="E176" s="44" t="n">
        <v>46092</v>
      </c>
      <c r="F176" s="41" t="n"/>
      <c r="G176" s="41" t="n"/>
      <c r="I176" s="41" t="inlineStr">
        <is>
          <t>0000438-51.2026.5.12.0003</t>
        </is>
      </c>
      <c r="J176" s="41" t="inlineStr">
        <is>
          <t>Prazo</t>
        </is>
      </c>
      <c r="K176" s="44" t="n">
        <v>46037</v>
      </c>
      <c r="L176" s="41" t="inlineStr">
        <is>
          <t xml:space="preserve">Lucas </t>
        </is>
      </c>
      <c r="M176" s="40" t="inlineStr">
        <is>
          <t>Cumprido</t>
        </is>
      </c>
      <c r="N176" s="44" t="n">
        <v>46037</v>
      </c>
      <c r="O176" s="41" t="inlineStr">
        <is>
          <t>Confecção Procuração e Contrato de Honorários</t>
        </is>
      </c>
    </row>
    <row r="177" ht="18" customHeight="1">
      <c r="A177" s="40" t="inlineStr">
        <is>
          <t>5010250-30.2025.8.24.0020</t>
        </is>
      </c>
      <c r="B177" s="40" t="inlineStr">
        <is>
          <t>Outras</t>
        </is>
      </c>
      <c r="C177" s="41" t="n"/>
      <c r="D177" s="41" t="inlineStr">
        <is>
          <t>Renata Francisco Becker</t>
        </is>
      </c>
      <c r="E177" s="44" t="n">
        <v>45832</v>
      </c>
      <c r="F177" s="41" t="inlineStr"/>
      <c r="G177" s="41" t="n"/>
      <c r="I177" s="41" t="inlineStr"/>
      <c r="J177" s="41" t="inlineStr">
        <is>
          <t>Prazo</t>
        </is>
      </c>
      <c r="K177" s="44" t="n">
        <v>46037</v>
      </c>
      <c r="L177" s="41" t="inlineStr">
        <is>
          <t>Julia</t>
        </is>
      </c>
      <c r="M177" s="40" t="inlineStr">
        <is>
          <t>Cumprido</t>
        </is>
      </c>
      <c r="N177" s="44" t="n">
        <v>46037</v>
      </c>
      <c r="O177" s="41" t="inlineStr">
        <is>
          <t>Pensão por morte Rafael Francisco Becker</t>
        </is>
      </c>
    </row>
    <row r="178" ht="18" customHeight="1">
      <c r="A178" s="40" t="inlineStr">
        <is>
          <t>5012154-68.2019.4.04.7204</t>
        </is>
      </c>
      <c r="B178" s="40" t="inlineStr">
        <is>
          <t>Outras</t>
        </is>
      </c>
      <c r="C178" s="41" t="n"/>
      <c r="D178" s="41" t="inlineStr">
        <is>
          <t>Renata Francisco Becker</t>
        </is>
      </c>
      <c r="E178" s="44" t="n">
        <v>44706</v>
      </c>
      <c r="F178" s="41" t="inlineStr">
        <is>
          <t>Juízo Federal da 1ª VF de Tubarão</t>
        </is>
      </c>
      <c r="G178" s="41" t="n"/>
      <c r="I178" s="41" t="inlineStr">
        <is>
          <t>5026124-09.2025.4.04.0000</t>
        </is>
      </c>
      <c r="J178" s="41" t="inlineStr">
        <is>
          <t>Prazo</t>
        </is>
      </c>
      <c r="K178" s="44" t="n">
        <v>46037</v>
      </c>
      <c r="L178" s="41" t="inlineStr">
        <is>
          <t>Jessica</t>
        </is>
      </c>
      <c r="M178" s="40" t="inlineStr">
        <is>
          <t>Cumprido</t>
        </is>
      </c>
      <c r="N178" s="44" t="n">
        <v>46037</v>
      </c>
      <c r="O178" s="41" t="inlineStr">
        <is>
          <t xml:space="preserve">prazo </t>
        </is>
      </c>
    </row>
    <row r="179" ht="18" customHeight="1">
      <c r="A179" s="40" t="inlineStr">
        <is>
          <t>5020238-75.2025.8.24.0020</t>
        </is>
      </c>
      <c r="B179" s="40" t="inlineStr">
        <is>
          <t>Outras</t>
        </is>
      </c>
      <c r="C179" s="41" t="n"/>
      <c r="D179" s="41" t="inlineStr">
        <is>
          <t>Renata Francisco Becker</t>
        </is>
      </c>
      <c r="E179" s="44" t="n">
        <v>45895</v>
      </c>
      <c r="F179" s="41" t="inlineStr"/>
      <c r="G179" s="41" t="n"/>
      <c r="I179" s="41" t="inlineStr">
        <is>
          <t>054793.0089949/2025</t>
        </is>
      </c>
      <c r="J179" s="41" t="inlineStr">
        <is>
          <t>Prazo</t>
        </is>
      </c>
      <c r="K179" s="44" t="n">
        <v>46037</v>
      </c>
      <c r="L179" s="41" t="inlineStr">
        <is>
          <t xml:space="preserve">Lucas </t>
        </is>
      </c>
      <c r="M179" s="40" t="inlineStr">
        <is>
          <t>Cumprido</t>
        </is>
      </c>
      <c r="N179" s="44" t="n">
        <v>46037</v>
      </c>
      <c r="O179" s="41" t="inlineStr">
        <is>
          <t>Prazo</t>
        </is>
      </c>
    </row>
    <row r="180" ht="18" customHeight="1">
      <c r="A180" s="40" t="n"/>
      <c r="B180" s="40" t="inlineStr">
        <is>
          <t>Outras</t>
        </is>
      </c>
      <c r="C180" s="41" t="n"/>
      <c r="D180" s="41" t="inlineStr">
        <is>
          <t>Luci</t>
        </is>
      </c>
      <c r="E180" s="44" t="n">
        <v>45573</v>
      </c>
      <c r="F180" s="41" t="n"/>
      <c r="G180" s="41" t="n"/>
      <c r="I180" s="41" t="inlineStr">
        <is>
          <t>50142582320254047204</t>
        </is>
      </c>
      <c r="J180" s="41" t="inlineStr">
        <is>
          <t>Prazo</t>
        </is>
      </c>
      <c r="K180" s="44" t="n">
        <v>46037</v>
      </c>
      <c r="L180" s="41" t="inlineStr">
        <is>
          <t>Jessica</t>
        </is>
      </c>
      <c r="M180" s="40" t="inlineStr">
        <is>
          <t>Cumprido</t>
        </is>
      </c>
      <c r="N180" s="44" t="n">
        <v>46037</v>
      </c>
      <c r="O180" s="41" t="inlineStr">
        <is>
          <t>Prazo Agravo liminar BEV</t>
        </is>
      </c>
    </row>
    <row r="181" ht="18" customHeight="1">
      <c r="A181" s="40" t="n"/>
      <c r="B181" s="40" t="inlineStr">
        <is>
          <t>Outras</t>
        </is>
      </c>
      <c r="C181" s="41" t="n"/>
      <c r="D181" s="41" t="inlineStr">
        <is>
          <t>Pedro Victor</t>
        </is>
      </c>
      <c r="E181" s="44" t="n">
        <v>45432</v>
      </c>
      <c r="F181" s="41" t="n"/>
      <c r="G181" s="41" t="n"/>
      <c r="I181" s="41" t="inlineStr">
        <is>
          <t>50040912320268240930</t>
        </is>
      </c>
      <c r="J181" s="41" t="inlineStr">
        <is>
          <t>Prazo</t>
        </is>
      </c>
      <c r="K181" s="44" t="n">
        <v>46037</v>
      </c>
      <c r="L181" s="41" t="inlineStr">
        <is>
          <t>Renata Francisco Becker</t>
        </is>
      </c>
      <c r="M181" s="40" t="inlineStr">
        <is>
          <t>Cumprido</t>
        </is>
      </c>
      <c r="N181" s="44" t="n">
        <v>46037</v>
      </c>
      <c r="O181" s="41" t="inlineStr">
        <is>
          <t>Prazo Guia marcos</t>
        </is>
      </c>
    </row>
    <row r="182" ht="18" customHeight="1">
      <c r="A182" s="40" t="inlineStr">
        <is>
          <t>0000892-11.2022.5.12.0055</t>
        </is>
      </c>
      <c r="B182" s="40" t="inlineStr">
        <is>
          <t>Outras</t>
        </is>
      </c>
      <c r="C182" s="41" t="n"/>
      <c r="D182" s="41" t="inlineStr">
        <is>
          <t>Renata Francisco Becker</t>
        </is>
      </c>
      <c r="E182" s="44" t="n">
        <v>44972</v>
      </c>
      <c r="F182" s="41" t="inlineStr"/>
      <c r="G182" s="41" t="n"/>
      <c r="I182" s="41" t="inlineStr">
        <is>
          <t>5004233-27.2026.8.24.0930</t>
        </is>
      </c>
      <c r="J182" s="41" t="inlineStr">
        <is>
          <t>Prazo</t>
        </is>
      </c>
      <c r="K182" s="44" t="n">
        <v>46037</v>
      </c>
      <c r="L182" s="41" t="inlineStr">
        <is>
          <t>Renata Francisco Becker</t>
        </is>
      </c>
      <c r="M182" s="40" t="inlineStr">
        <is>
          <t>Cumprido</t>
        </is>
      </c>
      <c r="N182" s="44" t="n">
        <v>46037</v>
      </c>
      <c r="O182" s="41" t="inlineStr">
        <is>
          <t>Prazo Guia marcos</t>
        </is>
      </c>
    </row>
    <row r="183" ht="18" customHeight="1">
      <c r="A183" s="40" t="inlineStr">
        <is>
          <t>5021935-05.2023.8.24.0020</t>
        </is>
      </c>
      <c r="B183" s="40" t="inlineStr">
        <is>
          <t>Outras</t>
        </is>
      </c>
      <c r="C183" s="41" t="n"/>
      <c r="D183" s="41" t="inlineStr">
        <is>
          <t>Renata Francisco Becker</t>
        </is>
      </c>
      <c r="E183" s="44" t="n">
        <v>45183</v>
      </c>
      <c r="F183" s="41" t="inlineStr"/>
      <c r="G183" s="41" t="n"/>
      <c r="I183" s="41" t="inlineStr">
        <is>
          <t>5019809-11.2025.8.24.0020</t>
        </is>
      </c>
      <c r="J183" s="41" t="inlineStr">
        <is>
          <t>Prazo</t>
        </is>
      </c>
      <c r="K183" s="44" t="n">
        <v>46037</v>
      </c>
      <c r="L183" s="41" t="inlineStr">
        <is>
          <t>Renata Francisco Becker</t>
        </is>
      </c>
      <c r="M183" s="40" t="inlineStr">
        <is>
          <t>Cumprido</t>
        </is>
      </c>
      <c r="N183" s="44" t="n">
        <v>46037</v>
      </c>
      <c r="O183" s="41" t="inlineStr">
        <is>
          <t>Prazo Mateus - PF 09.02 (dar ciência)</t>
        </is>
      </c>
    </row>
    <row r="184" ht="18" customHeight="1">
      <c r="A184" s="40" t="inlineStr">
        <is>
          <t>5001708-12.2021.8.24.0166</t>
        </is>
      </c>
      <c r="B184" s="40" t="inlineStr">
        <is>
          <t>Outras</t>
        </is>
      </c>
      <c r="C184" s="41" t="n"/>
      <c r="D184" s="41" t="inlineStr">
        <is>
          <t>Renata Francisco Becker</t>
        </is>
      </c>
      <c r="E184" s="44" t="n">
        <v>44805</v>
      </c>
      <c r="F184" s="41" t="inlineStr">
        <is>
          <t>Juízo da Vara Única da Comarca de Forquilhinha</t>
        </is>
      </c>
      <c r="G184" s="41" t="n"/>
      <c r="I184" s="41" t="inlineStr">
        <is>
          <t>5011063-57.2016.4.04.7200</t>
        </is>
      </c>
      <c r="J184" s="41" t="inlineStr">
        <is>
          <t>Prazo</t>
        </is>
      </c>
      <c r="K184" s="44" t="n">
        <v>46037</v>
      </c>
      <c r="L184" s="41" t="inlineStr">
        <is>
          <t xml:space="preserve">Alexia </t>
        </is>
      </c>
      <c r="M184" s="40" t="inlineStr">
        <is>
          <t>Cumprido</t>
        </is>
      </c>
      <c r="N184" s="44" t="n">
        <v>46037</v>
      </c>
      <c r="O184" s="41" t="inlineStr">
        <is>
          <t>prazo procuração e contrato de honraoiros</t>
        </is>
      </c>
    </row>
    <row r="185" ht="18" customHeight="1">
      <c r="A185" s="40" t="inlineStr">
        <is>
          <t>5006390-88.2025.8.24.0030</t>
        </is>
      </c>
      <c r="B185" s="40" t="inlineStr">
        <is>
          <t>Outras</t>
        </is>
      </c>
      <c r="C185" s="41" t="n"/>
      <c r="D185" s="41" t="inlineStr">
        <is>
          <t>Renata Francisco Becker</t>
        </is>
      </c>
      <c r="E185" s="44" t="n">
        <v>45985</v>
      </c>
      <c r="F185" s="41" t="inlineStr"/>
      <c r="G185" s="41" t="n"/>
      <c r="I185" s="41" t="inlineStr">
        <is>
          <t>5011063-57.2016.4.04.7200</t>
        </is>
      </c>
      <c r="J185" s="41" t="inlineStr">
        <is>
          <t>Prazo</t>
        </is>
      </c>
      <c r="K185" s="44" t="n">
        <v>46037</v>
      </c>
      <c r="L185" s="41" t="inlineStr">
        <is>
          <t xml:space="preserve">Alexia </t>
        </is>
      </c>
      <c r="M185" s="40" t="inlineStr">
        <is>
          <t>Cumprido</t>
        </is>
      </c>
      <c r="N185" s="44" t="n">
        <v>46037</v>
      </c>
      <c r="O185" s="41" t="inlineStr">
        <is>
          <t>Procuração</t>
        </is>
      </c>
    </row>
    <row r="186" ht="18" customHeight="1">
      <c r="A186" s="40" t="inlineStr">
        <is>
          <t>5004058-64.2019.4.04.7204</t>
        </is>
      </c>
      <c r="B186" s="40" t="inlineStr">
        <is>
          <t>Outras</t>
        </is>
      </c>
      <c r="C186" s="41" t="n"/>
      <c r="D186" s="41" t="inlineStr">
        <is>
          <t>Renata Francisco Becker</t>
        </is>
      </c>
      <c r="E186" s="44" t="n">
        <v>45320</v>
      </c>
      <c r="F186" s="41" t="inlineStr"/>
      <c r="G186" s="41" t="n"/>
      <c r="I186" s="41" t="inlineStr">
        <is>
          <t>5026124-09.2025.4.04.0000</t>
        </is>
      </c>
      <c r="J186" s="41" t="inlineStr">
        <is>
          <t>Tarefa</t>
        </is>
      </c>
      <c r="K186" s="44" t="n">
        <v>46037</v>
      </c>
      <c r="L186" s="41" t="inlineStr">
        <is>
          <t>Jessica</t>
        </is>
      </c>
      <c r="M186" s="40" t="inlineStr">
        <is>
          <t>Cumprido</t>
        </is>
      </c>
      <c r="N186" s="44" t="n">
        <v>46037</v>
      </c>
      <c r="O186" s="41" t="inlineStr">
        <is>
          <t>Elaboração</t>
        </is>
      </c>
    </row>
    <row r="187" ht="18" customHeight="1">
      <c r="A187" s="40" t="inlineStr">
        <is>
          <t>5004718-60.2025.4.04.7200</t>
        </is>
      </c>
      <c r="B187" s="40" t="inlineStr">
        <is>
          <t>Outras</t>
        </is>
      </c>
      <c r="C187" s="41" t="n"/>
      <c r="D187" s="41" t="inlineStr">
        <is>
          <t>Pedro Victor</t>
        </is>
      </c>
      <c r="E187" s="44" t="n">
        <v>45729</v>
      </c>
      <c r="F187" s="41" t="inlineStr">
        <is>
          <t>Juízo Substituto da 3ª Unidade de Apoio em Execução Fiscal (PRCTB19)</t>
        </is>
      </c>
      <c r="G187" s="41" t="n"/>
      <c r="I187" s="41" t="inlineStr">
        <is>
          <t>054793.0089949/2025</t>
        </is>
      </c>
      <c r="J187" s="41" t="inlineStr">
        <is>
          <t>Tarefa</t>
        </is>
      </c>
      <c r="K187" s="44" t="n">
        <v>46037</v>
      </c>
      <c r="L187" s="41" t="inlineStr">
        <is>
          <t xml:space="preserve">Lucas </t>
        </is>
      </c>
      <c r="M187" s="40" t="inlineStr">
        <is>
          <t>Cumprido</t>
        </is>
      </c>
      <c r="N187" s="44" t="n">
        <v>46037</v>
      </c>
      <c r="O187" s="41" t="inlineStr">
        <is>
          <t>Elaboração</t>
        </is>
      </c>
    </row>
    <row r="188" ht="18" customHeight="1">
      <c r="A188" s="40" t="inlineStr">
        <is>
          <t>5001802-23.2022.8.24.0166</t>
        </is>
      </c>
      <c r="B188" s="40" t="inlineStr">
        <is>
          <t>Outras</t>
        </is>
      </c>
      <c r="C188" s="41" t="n"/>
      <c r="D188" s="41" t="inlineStr">
        <is>
          <t>Renata Francisco Becker</t>
        </is>
      </c>
      <c r="E188" s="44" t="n">
        <v>44809</v>
      </c>
      <c r="F188" s="41" t="inlineStr">
        <is>
          <t>Juízo da Vara Única da Comarca de Forquilhinha</t>
        </is>
      </c>
      <c r="G188" s="41" t="n"/>
      <c r="I188" s="41" t="inlineStr">
        <is>
          <t>5002869-18.2025.8.24.0166</t>
        </is>
      </c>
      <c r="J188" s="41" t="inlineStr">
        <is>
          <t>Tarefa</t>
        </is>
      </c>
      <c r="K188" s="44" t="n">
        <v>46037</v>
      </c>
      <c r="L188" s="41" t="inlineStr">
        <is>
          <t>Jessica</t>
        </is>
      </c>
      <c r="M188" s="40" t="inlineStr">
        <is>
          <t>Cumprido</t>
        </is>
      </c>
      <c r="N188" s="44" t="n">
        <v>46037</v>
      </c>
      <c r="O188" s="41" t="inlineStr">
        <is>
          <t>Protocolo</t>
        </is>
      </c>
    </row>
    <row r="189" ht="18" customHeight="1">
      <c r="A189" s="40" t="inlineStr">
        <is>
          <t>5012358-58.2026.8.24.0000</t>
        </is>
      </c>
      <c r="B189" s="40" t="inlineStr">
        <is>
          <t>Outras</t>
        </is>
      </c>
      <c r="C189" s="41" t="n"/>
      <c r="D189" s="41" t="inlineStr">
        <is>
          <t>Marelize Controladoria</t>
        </is>
      </c>
      <c r="E189" s="44" t="n">
        <v>46073</v>
      </c>
      <c r="F189" s="41" t="inlineStr">
        <is>
          <t>Gab. 03 - 6ª Câmara de Direito Civil</t>
        </is>
      </c>
      <c r="G189" s="41" t="n"/>
      <c r="I189" s="41" t="inlineStr">
        <is>
          <t>50127492120248240020</t>
        </is>
      </c>
      <c r="J189" s="41" t="inlineStr">
        <is>
          <t>Tarefa</t>
        </is>
      </c>
      <c r="K189" s="44" t="n">
        <v>46037</v>
      </c>
      <c r="L189" s="41" t="inlineStr">
        <is>
          <t xml:space="preserve">Alexia </t>
        </is>
      </c>
      <c r="M189" s="40" t="inlineStr">
        <is>
          <t>Cumprido</t>
        </is>
      </c>
      <c r="N189" s="44" t="n">
        <v>46037</v>
      </c>
      <c r="O189" s="41" t="inlineStr">
        <is>
          <t>Protocolo</t>
        </is>
      </c>
    </row>
    <row r="190" ht="18" customHeight="1">
      <c r="A190" s="40" t="inlineStr">
        <is>
          <t>5012258-60.2019.4.04.7204</t>
        </is>
      </c>
      <c r="B190" s="40" t="inlineStr">
        <is>
          <t>Outras</t>
        </is>
      </c>
      <c r="C190" s="41" t="n"/>
      <c r="D190" s="41" t="inlineStr">
        <is>
          <t>Renata Francisco Becker</t>
        </is>
      </c>
      <c r="E190" s="44" t="n">
        <v>44707</v>
      </c>
      <c r="F190" s="41" t="inlineStr">
        <is>
          <t>Juízo Federal da 4ª VF de Criciúma</t>
        </is>
      </c>
      <c r="G190" s="41" t="n"/>
      <c r="I190" s="41" t="inlineStr">
        <is>
          <t>5026124-09.2025.4.04.0000</t>
        </is>
      </c>
      <c r="J190" s="41" t="inlineStr">
        <is>
          <t>Tarefa</t>
        </is>
      </c>
      <c r="K190" s="44" t="n">
        <v>46037</v>
      </c>
      <c r="L190" s="41" t="inlineStr">
        <is>
          <t>Jessica</t>
        </is>
      </c>
      <c r="M190" s="40" t="inlineStr">
        <is>
          <t>Cumprido</t>
        </is>
      </c>
      <c r="N190" s="44" t="n">
        <v>46037</v>
      </c>
      <c r="O190" s="41" t="inlineStr">
        <is>
          <t>Protocolo</t>
        </is>
      </c>
    </row>
    <row r="191" ht="18" customHeight="1">
      <c r="A191" s="40" t="inlineStr">
        <is>
          <t>5006323-56.2025.8.24.0020</t>
        </is>
      </c>
      <c r="B191" s="40" t="inlineStr">
        <is>
          <t>Outras</t>
        </is>
      </c>
      <c r="C191" s="41" t="n"/>
      <c r="D191" s="41" t="inlineStr">
        <is>
          <t>Renata Francisco Becker</t>
        </is>
      </c>
      <c r="E191" s="44" t="n">
        <v>45748</v>
      </c>
      <c r="F191" s="41" t="inlineStr">
        <is>
          <t>2° vara civel</t>
        </is>
      </c>
      <c r="G191" s="41" t="n"/>
      <c r="I191" s="41" t="inlineStr">
        <is>
          <t>5026124-09.2025.4.04.0000</t>
        </is>
      </c>
      <c r="J191" s="41" t="inlineStr">
        <is>
          <t>Tarefa</t>
        </is>
      </c>
      <c r="K191" s="44" t="n">
        <v>46037</v>
      </c>
      <c r="L191" s="41" t="inlineStr">
        <is>
          <t>Jessica</t>
        </is>
      </c>
      <c r="M191" s="40" t="inlineStr">
        <is>
          <t>Cumprido</t>
        </is>
      </c>
      <c r="N191" s="44" t="n">
        <v>46037</v>
      </c>
      <c r="O191" s="41" t="inlineStr">
        <is>
          <t>Revisão</t>
        </is>
      </c>
    </row>
    <row r="192" ht="18" customHeight="1">
      <c r="A192" s="40" t="inlineStr">
        <is>
          <t>0302940-63.2017.8.24.0020</t>
        </is>
      </c>
      <c r="B192" s="40" t="inlineStr">
        <is>
          <t>Outras</t>
        </is>
      </c>
      <c r="C192" s="41" t="n"/>
      <c r="D192" s="41" t="inlineStr">
        <is>
          <t>Marelize Controladoria</t>
        </is>
      </c>
      <c r="E192" s="44" t="n">
        <v>46090</v>
      </c>
      <c r="F192" s="41" t="inlineStr">
        <is>
          <t>Juízo da Vara da Família da Comarca de Criciúma</t>
        </is>
      </c>
      <c r="G192" s="41" t="n"/>
      <c r="I192" s="41" t="inlineStr">
        <is>
          <t>50097130520238240020</t>
        </is>
      </c>
      <c r="J192" s="41" t="inlineStr">
        <is>
          <t>Tarefa</t>
        </is>
      </c>
      <c r="K192" s="44" t="n">
        <v>46037</v>
      </c>
      <c r="L192" s="41" t="inlineStr">
        <is>
          <t>Renata Francisco Becker</t>
        </is>
      </c>
      <c r="M192" s="40" t="inlineStr">
        <is>
          <t>Cumprido</t>
        </is>
      </c>
      <c r="N192" s="44" t="n">
        <v>46037</v>
      </c>
      <c r="O192" s="41" t="inlineStr">
        <is>
          <t>Revisão</t>
        </is>
      </c>
    </row>
    <row r="193" ht="18" customHeight="1">
      <c r="A193" s="40" t="inlineStr">
        <is>
          <t>5000162-16.2026.8.24.0175</t>
        </is>
      </c>
      <c r="B193" s="40" t="inlineStr">
        <is>
          <t>Outras</t>
        </is>
      </c>
      <c r="C193" s="41" t="n"/>
      <c r="D193" s="41" t="inlineStr">
        <is>
          <t>Marelize Controladoria</t>
        </is>
      </c>
      <c r="E193" s="44" t="n">
        <v>46085</v>
      </c>
      <c r="F193" s="41" t="inlineStr">
        <is>
          <t>Juízo da Vara Única da Comarca de Meleiro</t>
        </is>
      </c>
      <c r="G193" s="41" t="n"/>
      <c r="I193" s="41" t="inlineStr">
        <is>
          <t>50097130520238240020</t>
        </is>
      </c>
      <c r="J193" s="41" t="inlineStr">
        <is>
          <t>Tarefa</t>
        </is>
      </c>
      <c r="K193" s="44" t="n">
        <v>46037</v>
      </c>
      <c r="L193" s="41" t="inlineStr">
        <is>
          <t xml:space="preserve">Alexia </t>
        </is>
      </c>
      <c r="M193" s="40" t="inlineStr">
        <is>
          <t>Cumprido</t>
        </is>
      </c>
      <c r="N193" s="44" t="n">
        <v>46037</v>
      </c>
      <c r="O193" s="41" t="inlineStr">
        <is>
          <t>Revisão</t>
        </is>
      </c>
    </row>
    <row r="194" ht="18" customHeight="1">
      <c r="A194" s="40" t="inlineStr">
        <is>
          <t>5006046-57.2018.4.04.7204</t>
        </is>
      </c>
      <c r="B194" s="40" t="inlineStr">
        <is>
          <t>Outras</t>
        </is>
      </c>
      <c r="C194" s="41" t="n"/>
      <c r="D194" s="41" t="inlineStr">
        <is>
          <t>Renata Francisco Becker</t>
        </is>
      </c>
      <c r="E194" s="44" t="n">
        <v>44741</v>
      </c>
      <c r="F194" s="41" t="inlineStr">
        <is>
          <t>Juízo Substituto da 4ª VF de Criciúma</t>
        </is>
      </c>
      <c r="G194" s="41" t="n"/>
      <c r="I194" s="41" t="inlineStr"/>
      <c r="J194" s="41" t="inlineStr">
        <is>
          <t>Tarefa</t>
        </is>
      </c>
      <c r="K194" s="44" t="n">
        <v>46037</v>
      </c>
      <c r="L194" s="41" t="inlineStr">
        <is>
          <t xml:space="preserve">Lucas </t>
        </is>
      </c>
      <c r="M194" s="40" t="inlineStr">
        <is>
          <t>Cumprido</t>
        </is>
      </c>
      <c r="N194" s="44" t="n">
        <v>46037</v>
      </c>
      <c r="O194" s="41" t="inlineStr">
        <is>
          <t>Revisão (Documentos de implementação)</t>
        </is>
      </c>
    </row>
    <row r="195" ht="18" customHeight="1">
      <c r="A195" s="40" t="inlineStr">
        <is>
          <t>50040912320268240930</t>
        </is>
      </c>
      <c r="B195" s="40" t="inlineStr">
        <is>
          <t>Outras</t>
        </is>
      </c>
      <c r="C195" s="41" t="n"/>
      <c r="D195" s="41" t="inlineStr">
        <is>
          <t>Marelize Controladoria</t>
        </is>
      </c>
      <c r="E195" s="44" t="n">
        <v>46036</v>
      </c>
      <c r="F195" s="41" t="inlineStr">
        <is>
          <t>3º Juízo da Vara Estadual de Direito Bancário</t>
        </is>
      </c>
      <c r="G195" s="41" t="n"/>
      <c r="I195" s="41" t="inlineStr"/>
      <c r="J195" s="41" t="inlineStr">
        <is>
          <t>Tarefa</t>
        </is>
      </c>
      <c r="K195" s="44" t="n">
        <v>46037</v>
      </c>
      <c r="L195" s="41" t="inlineStr">
        <is>
          <t>Marelize Controladoria</t>
        </is>
      </c>
      <c r="M195" s="40" t="inlineStr">
        <is>
          <t>Cumprido</t>
        </is>
      </c>
      <c r="N195" s="44" t="n">
        <v>46037</v>
      </c>
      <c r="O195" s="41" t="inlineStr">
        <is>
          <t xml:space="preserve">5000540-03.2026.4.04.0000 cadastrar processo
</t>
        </is>
      </c>
    </row>
    <row r="196" ht="18" customHeight="1">
      <c r="A196" s="40" t="inlineStr">
        <is>
          <t>5006216-29.2018.4.04.7204</t>
        </is>
      </c>
      <c r="B196" s="40" t="inlineStr">
        <is>
          <t>Outras</t>
        </is>
      </c>
      <c r="C196" s="41" t="n"/>
      <c r="D196" s="41" t="inlineStr">
        <is>
          <t>Renata Francisco Becker</t>
        </is>
      </c>
      <c r="E196" s="44" t="n">
        <v>44741</v>
      </c>
      <c r="F196" s="41" t="inlineStr">
        <is>
          <t>Juízo Substituto da 4ª VF de Criciúma</t>
        </is>
      </c>
      <c r="G196" s="41" t="n"/>
      <c r="I196" s="41" t="inlineStr"/>
      <c r="J196" s="41" t="inlineStr">
        <is>
          <t>Tarefa</t>
        </is>
      </c>
      <c r="K196" s="44" t="n">
        <v>46037</v>
      </c>
      <c r="L196" s="41" t="inlineStr">
        <is>
          <t>Marelize Controladoria</t>
        </is>
      </c>
      <c r="M196" s="40" t="inlineStr">
        <is>
          <t>Cumprido</t>
        </is>
      </c>
      <c r="N196" s="44" t="n">
        <v>46037</v>
      </c>
      <c r="O196" s="41" t="inlineStr">
        <is>
          <t>50006209720268210019 - por favor cadastrar esse processo grata</t>
        </is>
      </c>
    </row>
    <row r="197" ht="18" customHeight="1">
      <c r="A197" s="40" t="inlineStr">
        <is>
          <t>5002343-39.2018.8.24.0023</t>
        </is>
      </c>
      <c r="B197" s="40" t="inlineStr">
        <is>
          <t>Outras</t>
        </is>
      </c>
      <c r="C197" s="41" t="n"/>
      <c r="D197" s="41" t="inlineStr">
        <is>
          <t>Pedro Victor</t>
        </is>
      </c>
      <c r="E197" s="44" t="n">
        <v>45073</v>
      </c>
      <c r="F197" s="41" t="inlineStr">
        <is>
          <t>Juízo da Vara de Execuções contra a Fazenda Pública e Precatórios da Comarca da Capital</t>
        </is>
      </c>
      <c r="G197" s="41" t="n"/>
      <c r="I197" s="41" t="inlineStr"/>
      <c r="J197" s="41" t="inlineStr">
        <is>
          <t>Tarefa</t>
        </is>
      </c>
      <c r="K197" s="44" t="n">
        <v>46037</v>
      </c>
      <c r="L197" s="41" t="inlineStr">
        <is>
          <t>Renata Francisco Becker</t>
        </is>
      </c>
      <c r="M197" s="40" t="inlineStr">
        <is>
          <t>Cumprido</t>
        </is>
      </c>
      <c r="N197" s="44" t="n">
        <v>46037</v>
      </c>
      <c r="O197" s="41" t="inlineStr">
        <is>
          <t>Atualizar procuração pessoal do marcos pereira pacheco. Tendo em vista que não esta na pasta. grata</t>
        </is>
      </c>
    </row>
    <row r="198" ht="18" customHeight="1">
      <c r="A198" s="40" t="inlineStr">
        <is>
          <t>5006085-54.2018.4.04.7204</t>
        </is>
      </c>
      <c r="B198" s="40" t="inlineStr">
        <is>
          <t>Outras</t>
        </is>
      </c>
      <c r="C198" s="41" t="n"/>
      <c r="D198" s="41" t="inlineStr">
        <is>
          <t>Renata Francisco Becker</t>
        </is>
      </c>
      <c r="E198" s="44" t="n">
        <v>44741</v>
      </c>
      <c r="F198" s="41" t="inlineStr">
        <is>
          <t>Juízo Substituto da 4ª VF de Criciúma</t>
        </is>
      </c>
      <c r="G198" s="41" t="n"/>
      <c r="I198" s="41" t="inlineStr"/>
      <c r="J198" s="41" t="inlineStr">
        <is>
          <t>Tarefa</t>
        </is>
      </c>
      <c r="K198" s="44" t="n">
        <v>46037</v>
      </c>
      <c r="L198" s="41" t="inlineStr">
        <is>
          <t>Marelize Controladoria</t>
        </is>
      </c>
      <c r="M198" s="40" t="inlineStr">
        <is>
          <t>Cumprido</t>
        </is>
      </c>
      <c r="N198" s="44" t="n">
        <v>46037</v>
      </c>
      <c r="O198" s="41" t="inlineStr">
        <is>
          <t>cadastrar novo processo 50040912320268240930, embargos terceiros marcos (NIVUS)
Após abrir uma demanda, para que eu cobre o pagametno da guia do marcos. grata</t>
        </is>
      </c>
    </row>
    <row r="199" ht="18" customHeight="1">
      <c r="A199" s="40" t="inlineStr">
        <is>
          <t>5001164-58.2020.8.24.0166</t>
        </is>
      </c>
      <c r="B199" s="40" t="inlineStr">
        <is>
          <t>Outras</t>
        </is>
      </c>
      <c r="C199" s="41" t="n"/>
      <c r="D199" s="41" t="inlineStr">
        <is>
          <t>Renata Francisco Becker</t>
        </is>
      </c>
      <c r="E199" s="44" t="n">
        <v>44851</v>
      </c>
      <c r="F199" s="41" t="inlineStr"/>
      <c r="G199" s="41" t="n"/>
      <c r="I199" s="41" t="inlineStr"/>
      <c r="J199" s="41" t="inlineStr">
        <is>
          <t>Tarefa</t>
        </is>
      </c>
      <c r="K199" s="44" t="n">
        <v>46037</v>
      </c>
      <c r="L199" s="41" t="inlineStr">
        <is>
          <t>Marelize Controladoria</t>
        </is>
      </c>
      <c r="M199" s="40" t="inlineStr">
        <is>
          <t>Cumprido</t>
        </is>
      </c>
      <c r="N199" s="44" t="n">
        <v>46037</v>
      </c>
      <c r="O199" s="41" t="inlineStr">
        <is>
          <t xml:space="preserve">cadastrart processo 5004233-27.2026.8.24.0930 embargos marcos (nivus) </t>
        </is>
      </c>
    </row>
    <row r="200" ht="18" customHeight="1">
      <c r="A200" s="40" t="inlineStr">
        <is>
          <t>0000558-02.2023.5.12.0003</t>
        </is>
      </c>
      <c r="B200" s="40" t="inlineStr">
        <is>
          <t>Outras</t>
        </is>
      </c>
      <c r="C200" s="41" t="n"/>
      <c r="D200" s="41" t="inlineStr">
        <is>
          <t>Renata Francisco Becker</t>
        </is>
      </c>
      <c r="E200" s="44" t="n">
        <v>45243</v>
      </c>
      <c r="F200" s="41" t="inlineStr"/>
      <c r="G200" s="41" t="n"/>
      <c r="I200" s="41" t="inlineStr"/>
      <c r="J200" s="41" t="inlineStr">
        <is>
          <t>Tarefa</t>
        </is>
      </c>
      <c r="K200" s="44" t="n">
        <v>46037</v>
      </c>
      <c r="L200" s="41" t="inlineStr">
        <is>
          <t>Julia</t>
        </is>
      </c>
      <c r="M200" s="40" t="inlineStr">
        <is>
          <t>Cumprido</t>
        </is>
      </c>
      <c r="N200" s="44" t="n">
        <v>46037</v>
      </c>
      <c r="O200" s="41" t="inlineStr">
        <is>
          <t>Elaboração</t>
        </is>
      </c>
    </row>
    <row r="201" ht="18" customHeight="1">
      <c r="A201" s="40" t="inlineStr">
        <is>
          <t>5028410-06.2025.8.24.0020</t>
        </is>
      </c>
      <c r="B201" s="40" t="inlineStr">
        <is>
          <t>Outras</t>
        </is>
      </c>
      <c r="C201" s="41" t="n"/>
      <c r="D201" s="41" t="inlineStr">
        <is>
          <t>Renata Francisco Becker</t>
        </is>
      </c>
      <c r="E201" s="44" t="n">
        <v>45938</v>
      </c>
      <c r="F201" s="41" t="inlineStr"/>
      <c r="G201" s="41" t="n"/>
      <c r="I201" s="41" t="inlineStr"/>
      <c r="J201" s="41" t="inlineStr">
        <is>
          <t>Tarefa</t>
        </is>
      </c>
      <c r="K201" s="44" t="n">
        <v>46037</v>
      </c>
      <c r="L201" s="41" t="inlineStr">
        <is>
          <t>Renata Francisco Becker</t>
        </is>
      </c>
      <c r="M201" s="40" t="inlineStr">
        <is>
          <t>Cumprido</t>
        </is>
      </c>
      <c r="N201" s="44" t="n">
        <v>46037</v>
      </c>
      <c r="O201" s="41" t="inlineStr">
        <is>
          <t>finalizar tabela de ferias e folgas.</t>
        </is>
      </c>
    </row>
    <row r="202" ht="18" customHeight="1">
      <c r="A202" s="40" t="inlineStr">
        <is>
          <t>0000851-39.2025.5.12.0055</t>
        </is>
      </c>
      <c r="B202" s="40" t="inlineStr">
        <is>
          <t>Outras</t>
        </is>
      </c>
      <c r="C202" s="41" t="n"/>
      <c r="D202" s="41" t="inlineStr">
        <is>
          <t>Renata Francisco Becker</t>
        </is>
      </c>
      <c r="E202" s="44" t="n">
        <v>45961</v>
      </c>
      <c r="F202" s="41" t="inlineStr">
        <is>
          <t>Vara do Trabalho</t>
        </is>
      </c>
      <c r="G202" s="41" t="n"/>
      <c r="I202" s="41" t="inlineStr"/>
      <c r="J202" s="41" t="inlineStr">
        <is>
          <t>Tarefa</t>
        </is>
      </c>
      <c r="K202" s="44" t="n">
        <v>46037</v>
      </c>
      <c r="L202" s="41" t="inlineStr">
        <is>
          <t>Renata Francisco Becker</t>
        </is>
      </c>
      <c r="M202" s="40" t="inlineStr">
        <is>
          <t>Cumprido</t>
        </is>
      </c>
      <c r="N202" s="44" t="n">
        <v>46037</v>
      </c>
      <c r="O202" s="41" t="inlineStr">
        <is>
          <t>jutar renuncia.</t>
        </is>
      </c>
    </row>
    <row r="203" ht="18" customHeight="1">
      <c r="A203" s="40" t="inlineStr">
        <is>
          <t>50061370320258240030</t>
        </is>
      </c>
      <c r="B203" s="40" t="inlineStr">
        <is>
          <t>Outras</t>
        </is>
      </c>
      <c r="C203" s="41" t="n"/>
      <c r="D203" s="41" t="inlineStr">
        <is>
          <t>Renata Francisco Becker</t>
        </is>
      </c>
      <c r="E203" s="44" t="n">
        <v>45919</v>
      </c>
      <c r="F203" s="41" t="inlineStr"/>
      <c r="G203" s="41" t="n"/>
      <c r="I203" s="41" t="inlineStr"/>
      <c r="J203" s="41" t="inlineStr">
        <is>
          <t>Tarefa</t>
        </is>
      </c>
      <c r="K203" s="44" t="n">
        <v>46037</v>
      </c>
      <c r="L203" s="41" t="inlineStr">
        <is>
          <t>Marelize Controladoria</t>
        </is>
      </c>
      <c r="M203" s="40" t="inlineStr">
        <is>
          <t>Cumprido</t>
        </is>
      </c>
      <c r="N203" s="44" t="n">
        <v>46037</v>
      </c>
      <c r="O203" s="41" t="inlineStr">
        <is>
          <t>Lize, fazer um levantamento de quantas e quais cobranças a julia tem fazendo atualmente. por favor. e me encaminhar. 
Lembrando de fechar a agenda dela para na segunda feira ela só fazer as cobranças.
grata</t>
        </is>
      </c>
    </row>
    <row r="204" ht="18" customHeight="1">
      <c r="A204" s="40" t="inlineStr">
        <is>
          <t>5033219-02.2025.8.24.0000</t>
        </is>
      </c>
      <c r="B204" s="40" t="inlineStr">
        <is>
          <t>Outras</t>
        </is>
      </c>
      <c r="C204" s="41" t="n"/>
      <c r="D204" s="41" t="inlineStr">
        <is>
          <t>Renata Francisco Becker</t>
        </is>
      </c>
      <c r="E204" s="44" t="n">
        <v>45792</v>
      </c>
      <c r="F204" s="41" t="inlineStr"/>
      <c r="G204" s="41" t="n"/>
      <c r="I204" s="41" t="inlineStr"/>
      <c r="J204" s="41" t="inlineStr">
        <is>
          <t>Tarefa</t>
        </is>
      </c>
      <c r="K204" s="44" t="n">
        <v>46037</v>
      </c>
      <c r="L204" s="41" t="inlineStr">
        <is>
          <t>Marelize Controladoria</t>
        </is>
      </c>
      <c r="M204" s="40" t="inlineStr">
        <is>
          <t>Cumprido</t>
        </is>
      </c>
      <c r="N204" s="44" t="n">
        <v>46037</v>
      </c>
      <c r="O204" s="41" t="inlineStr">
        <is>
          <t xml:space="preserve">Lize verificar na agenda da Luci se tem prazo de fazer inicial dessa Caroline, caso de demissão de gravidez, senão tiver o prazo abrir e lançar na agenda dela. Obrigada </t>
        </is>
      </c>
    </row>
    <row r="205" ht="18" customHeight="1">
      <c r="A205" s="40" t="inlineStr">
        <is>
          <t>5006269-56.2026.8.24.0020</t>
        </is>
      </c>
      <c r="B205" s="40" t="inlineStr">
        <is>
          <t>Outras</t>
        </is>
      </c>
      <c r="C205" s="41" t="n"/>
      <c r="D205" s="41" t="inlineStr">
        <is>
          <t>Julia</t>
        </is>
      </c>
      <c r="E205" s="44" t="n">
        <v>46094</v>
      </c>
      <c r="F205" s="41" t="inlineStr"/>
      <c r="G205" s="41" t="n"/>
      <c r="I205" s="41" t="inlineStr"/>
      <c r="J205" s="41" t="inlineStr">
        <is>
          <t>Tarefa</t>
        </is>
      </c>
      <c r="K205" s="44" t="n">
        <v>46037</v>
      </c>
      <c r="L205" s="41" t="inlineStr">
        <is>
          <t xml:space="preserve">Lucas </t>
        </is>
      </c>
      <c r="M205" s="40" t="inlineStr">
        <is>
          <t>Cumprido</t>
        </is>
      </c>
      <c r="N205" s="44" t="n">
        <v>46037</v>
      </c>
      <c r="O205" s="41" t="inlineStr">
        <is>
          <t>Lucas, chamar os contatos das empresas que estão ativas no escritório para pegar o anydesk e trocar o servidor, pessoal do suporte do servidor vai no escritório.</t>
        </is>
      </c>
    </row>
    <row r="206" ht="18" customHeight="1">
      <c r="A206" s="40" t="inlineStr">
        <is>
          <t>50097130520238240020</t>
        </is>
      </c>
      <c r="B206" s="40" t="inlineStr">
        <is>
          <t>Outras</t>
        </is>
      </c>
      <c r="C206" s="41" t="n"/>
      <c r="D206" s="41" t="inlineStr">
        <is>
          <t>Renata Francisco Becker</t>
        </is>
      </c>
      <c r="E206" s="44" t="n">
        <v>45261</v>
      </c>
      <c r="F206" s="41" t="inlineStr"/>
      <c r="G206" s="41" t="n"/>
      <c r="I206" s="41" t="inlineStr"/>
      <c r="J206" s="41" t="inlineStr">
        <is>
          <t>Tarefa</t>
        </is>
      </c>
      <c r="K206" s="44" t="n">
        <v>46037</v>
      </c>
      <c r="L206" s="41" t="inlineStr">
        <is>
          <t>Jessica</t>
        </is>
      </c>
      <c r="M206" s="40" t="inlineStr">
        <is>
          <t>Cumprido</t>
        </is>
      </c>
      <c r="N206" s="44" t="n">
        <v>46037</v>
      </c>
      <c r="O206" s="41" t="inlineStr">
        <is>
          <t>realizar análise do passivo tributário e elegibilidade para transacionar</t>
        </is>
      </c>
    </row>
    <row r="207" ht="18" customHeight="1">
      <c r="A207" s="40" t="inlineStr">
        <is>
          <t>0000522-29.2016.5.12.0027</t>
        </is>
      </c>
      <c r="B207" s="40" t="inlineStr">
        <is>
          <t>Outras</t>
        </is>
      </c>
      <c r="C207" s="41" t="n"/>
      <c r="D207" s="41" t="inlineStr">
        <is>
          <t>Renata Francisco Becker</t>
        </is>
      </c>
      <c r="E207" s="44" t="n">
        <v>44703</v>
      </c>
      <c r="F207" s="41" t="inlineStr">
        <is>
          <t>2ª VARA DO TRABALHO DE CRICIÚMA</t>
        </is>
      </c>
      <c r="G207" s="41" t="n"/>
      <c r="I207" s="41" t="inlineStr"/>
      <c r="J207" s="41" t="inlineStr">
        <is>
          <t>Tarefa</t>
        </is>
      </c>
      <c r="K207" s="44" t="n">
        <v>46037</v>
      </c>
      <c r="L207" s="41" t="inlineStr">
        <is>
          <t>Marelize Controladoria</t>
        </is>
      </c>
      <c r="M207" s="40" t="inlineStr">
        <is>
          <t>Cumprido</t>
        </is>
      </c>
      <c r="N207" s="44" t="n">
        <v>46037</v>
      </c>
      <c r="O207" s="41" t="inlineStr">
        <is>
          <t xml:space="preserve">Solicitar relatório de cobranças ativas (Júlia) </t>
        </is>
      </c>
    </row>
    <row r="208" ht="18" customHeight="1">
      <c r="A208" s="40" t="inlineStr">
        <is>
          <t>5006478-59.2025.8.24.0020</t>
        </is>
      </c>
      <c r="B208" s="40" t="inlineStr">
        <is>
          <t>Outras</t>
        </is>
      </c>
      <c r="C208" s="41" t="n"/>
      <c r="D208" s="41" t="inlineStr">
        <is>
          <t>Renata Francisco Becker</t>
        </is>
      </c>
      <c r="E208" s="44" t="n">
        <v>45727</v>
      </c>
      <c r="F208" s="41" t="inlineStr">
        <is>
          <t>Juízo da 2ª Vara Cível</t>
        </is>
      </c>
      <c r="G208" s="41" t="n"/>
      <c r="I208" s="41" t="inlineStr"/>
      <c r="J208" s="41" t="inlineStr">
        <is>
          <t>Tarefa</t>
        </is>
      </c>
      <c r="K208" s="44" t="n">
        <v>46037</v>
      </c>
      <c r="L208" s="41" t="inlineStr">
        <is>
          <t>Marelize Controladoria</t>
        </is>
      </c>
      <c r="M208" s="40" t="inlineStr">
        <is>
          <t>Cumprido</t>
        </is>
      </c>
      <c r="N208" s="44" t="n">
        <v>46037</v>
      </c>
      <c r="O208" s="41" t="inlineStr">
        <is>
          <t>Verificar com Lucas a coclusão das pastas compartilhadas nas empresas.</t>
        </is>
      </c>
    </row>
    <row r="209">
      <c r="A209" s="40" t="inlineStr">
        <is>
          <t>5023319-32.2025.8.24.0020</t>
        </is>
      </c>
      <c r="B209" s="40" t="inlineStr">
        <is>
          <t>Outras</t>
        </is>
      </c>
      <c r="D209" s="67" t="inlineStr">
        <is>
          <t>Renata Francisco Becker</t>
        </is>
      </c>
      <c r="E209" s="62" t="n">
        <v>45923</v>
      </c>
      <c r="F209" s="67" t="inlineStr">
        <is>
          <t>Juizado Especial Cível</t>
        </is>
      </c>
      <c r="I209" s="67" t="inlineStr"/>
      <c r="J209" s="67" t="inlineStr">
        <is>
          <t>Evento</t>
        </is>
      </c>
      <c r="K209" s="62" t="n">
        <v>46037</v>
      </c>
      <c r="L209" s="67" t="inlineStr">
        <is>
          <t>Marelize Controladoria</t>
        </is>
      </c>
      <c r="M209" s="40" t="inlineStr">
        <is>
          <t>Cumprido</t>
        </is>
      </c>
      <c r="N209" s="62" t="n">
        <v>46037</v>
      </c>
      <c r="O209" s="67" t="inlineStr">
        <is>
          <t xml:space="preserve">Atendimento Vania Lucia </t>
        </is>
      </c>
    </row>
    <row r="210">
      <c r="A210" s="40" t="inlineStr">
        <is>
          <t>5003528-42.2026.8.21.0015</t>
        </is>
      </c>
      <c r="B210" s="40" t="inlineStr">
        <is>
          <t>Outras</t>
        </is>
      </c>
      <c r="D210" s="67" t="inlineStr">
        <is>
          <t xml:space="preserve">Lucas </t>
        </is>
      </c>
      <c r="E210" s="62" t="n">
        <v>46076</v>
      </c>
      <c r="F210" s="67" t="inlineStr">
        <is>
          <t>Vara da Família</t>
        </is>
      </c>
      <c r="I210" s="67" t="inlineStr"/>
      <c r="J210" s="67" t="inlineStr">
        <is>
          <t>Evento</t>
        </is>
      </c>
      <c r="K210" s="62" t="n">
        <v>46037</v>
      </c>
      <c r="L210" s="67" t="inlineStr">
        <is>
          <t>Marelize Controladoria</t>
        </is>
      </c>
      <c r="M210" s="40" t="inlineStr">
        <is>
          <t>Cumprido</t>
        </is>
      </c>
      <c r="N210" s="62" t="n">
        <v>46037</v>
      </c>
      <c r="O210" s="67" t="inlineStr">
        <is>
          <t>Entrevista com Nathalia - Marelize</t>
        </is>
      </c>
    </row>
    <row r="211">
      <c r="A211" s="40" t="inlineStr">
        <is>
          <t>0305623-05.2019.8.24.0020</t>
        </is>
      </c>
      <c r="B211" s="40" t="inlineStr">
        <is>
          <t>Outras</t>
        </is>
      </c>
      <c r="D211" s="67" t="inlineStr">
        <is>
          <t>Renata Francisco Becker</t>
        </is>
      </c>
      <c r="E211" s="62" t="n">
        <v>44701</v>
      </c>
      <c r="F211" s="67" t="inlineStr">
        <is>
          <t>Vara Da Infancia E Da Juventude E Anexos</t>
        </is>
      </c>
      <c r="I211" s="67" t="inlineStr"/>
      <c r="J211" s="67" t="inlineStr">
        <is>
          <t>Evento</t>
        </is>
      </c>
      <c r="K211" s="62" t="n">
        <v>46037</v>
      </c>
      <c r="L211" s="67" t="inlineStr">
        <is>
          <t>Pedro Victor</t>
        </is>
      </c>
      <c r="M211" s="40" t="inlineStr">
        <is>
          <t>Cumprido</t>
        </is>
      </c>
      <c r="N211" s="62" t="n">
        <v>46037</v>
      </c>
      <c r="O211" s="67" t="inlineStr">
        <is>
          <t>Reuniao Financeiro/contabil</t>
        </is>
      </c>
    </row>
    <row r="212">
      <c r="A212" s="40" t="inlineStr">
        <is>
          <t>5030853-27.2025.8.24.0020</t>
        </is>
      </c>
      <c r="B212" s="40" t="inlineStr">
        <is>
          <t>Outras</t>
        </is>
      </c>
      <c r="D212" s="67" t="inlineStr">
        <is>
          <t>Renata Francisco Becker</t>
        </is>
      </c>
      <c r="E212" s="62" t="n">
        <v>45996</v>
      </c>
      <c r="F212" s="67" t="inlineStr"/>
      <c r="I212" s="67" t="inlineStr"/>
      <c r="J212" s="67" t="inlineStr">
        <is>
          <t>Prazo</t>
        </is>
      </c>
      <c r="K212" s="62" t="n">
        <v>46038</v>
      </c>
      <c r="L212" s="67" t="inlineStr">
        <is>
          <t>Marelize Controladoria</t>
        </is>
      </c>
      <c r="M212" s="40" t="inlineStr">
        <is>
          <t>Cumprido</t>
        </is>
      </c>
      <c r="N212" s="62" t="n">
        <v>46038</v>
      </c>
      <c r="O212" s="67" t="inlineStr">
        <is>
          <t>Agendamento Ilsa Tessili</t>
        </is>
      </c>
    </row>
    <row r="213">
      <c r="A213" s="40" t="inlineStr">
        <is>
          <t>5051642-09.2026.8.21.7000</t>
        </is>
      </c>
      <c r="B213" s="40" t="inlineStr">
        <is>
          <t>Outras</t>
        </is>
      </c>
      <c r="D213" s="67" t="inlineStr">
        <is>
          <t>Marelize Controladoria</t>
        </is>
      </c>
      <c r="E213" s="62" t="n">
        <v>46078</v>
      </c>
      <c r="F213" s="67" t="inlineStr"/>
      <c r="I213" s="67" t="inlineStr">
        <is>
          <t>50006362720268240000</t>
        </is>
      </c>
      <c r="J213" s="67" t="inlineStr">
        <is>
          <t>Prazo</t>
        </is>
      </c>
      <c r="K213" s="62" t="n">
        <v>46038</v>
      </c>
      <c r="L213" s="67" t="inlineStr">
        <is>
          <t>Jessica</t>
        </is>
      </c>
      <c r="M213" s="40" t="inlineStr">
        <is>
          <t>Cumprido</t>
        </is>
      </c>
      <c r="N213" s="62" t="n">
        <v>46038</v>
      </c>
      <c r="O213" s="67" t="inlineStr">
        <is>
          <t>Agravo Interno</t>
        </is>
      </c>
    </row>
    <row r="214">
      <c r="A214" s="40" t="n"/>
      <c r="B214" s="40" t="inlineStr">
        <is>
          <t>Outras</t>
        </is>
      </c>
      <c r="D214" s="67" t="inlineStr">
        <is>
          <t>Marelize Controladoria</t>
        </is>
      </c>
      <c r="E214" s="62" t="n">
        <v>46062</v>
      </c>
      <c r="I214" s="67" t="inlineStr">
        <is>
          <t>50012521020248240020</t>
        </is>
      </c>
      <c r="J214" s="67" t="inlineStr">
        <is>
          <t>Prazo</t>
        </is>
      </c>
      <c r="K214" s="62" t="n">
        <v>46038</v>
      </c>
      <c r="L214" s="67" t="inlineStr">
        <is>
          <t>Renata Francisco Becker</t>
        </is>
      </c>
      <c r="M214" s="40" t="inlineStr">
        <is>
          <t>Cumprido</t>
        </is>
      </c>
      <c r="N214" s="62" t="n">
        <v>46038</v>
      </c>
      <c r="O214" s="67" t="inlineStr">
        <is>
          <t>Alexia, dar retorno ao cliente sobre o andamento do processo</t>
        </is>
      </c>
    </row>
    <row r="215">
      <c r="A215" s="40" t="inlineStr">
        <is>
          <t>09.2022.00002328-6</t>
        </is>
      </c>
      <c r="B215" s="40" t="inlineStr">
        <is>
          <t>Outras</t>
        </is>
      </c>
      <c r="D215" s="67" t="inlineStr">
        <is>
          <t>Pedro Victor</t>
        </is>
      </c>
      <c r="E215" s="62" t="n">
        <v>45762</v>
      </c>
      <c r="F215" s="67" t="inlineStr"/>
      <c r="I215" s="67" t="inlineStr"/>
      <c r="J215" s="67" t="inlineStr">
        <is>
          <t>Prazo</t>
        </is>
      </c>
      <c r="K215" s="62" t="n">
        <v>46038</v>
      </c>
      <c r="L215" s="67" t="inlineStr">
        <is>
          <t xml:space="preserve">Lucas </t>
        </is>
      </c>
      <c r="M215" s="40" t="inlineStr">
        <is>
          <t>Cumprido</t>
        </is>
      </c>
      <c r="N215" s="62" t="n">
        <v>46038</v>
      </c>
      <c r="O215" s="67" t="inlineStr">
        <is>
          <t>Auditoria Trabalhista Expresso São Ludgero</t>
        </is>
      </c>
    </row>
    <row r="216">
      <c r="A216" s="40" t="inlineStr">
        <is>
          <t>50006362720268240000</t>
        </is>
      </c>
      <c r="B216" s="40" t="inlineStr">
        <is>
          <t>Outras</t>
        </is>
      </c>
      <c r="D216" s="67" t="inlineStr">
        <is>
          <t>Marelize Controladoria</t>
        </is>
      </c>
      <c r="E216" s="62" t="n">
        <v>46037</v>
      </c>
      <c r="F216" s="67" t="inlineStr">
        <is>
          <t>Gab. 02 - 1ª Câmara de Direito Público</t>
        </is>
      </c>
      <c r="I216" s="67" t="inlineStr"/>
      <c r="J216" s="67" t="inlineStr">
        <is>
          <t>Prazo</t>
        </is>
      </c>
      <c r="K216" s="62" t="n">
        <v>46038</v>
      </c>
      <c r="L216" s="67" t="inlineStr">
        <is>
          <t xml:space="preserve">Alexia </t>
        </is>
      </c>
      <c r="M216" s="40" t="inlineStr">
        <is>
          <t>Cumprido</t>
        </is>
      </c>
      <c r="N216" s="62" t="n">
        <v>46038</v>
      </c>
      <c r="O216" s="67" t="inlineStr">
        <is>
          <t>Ação Pedagio</t>
        </is>
      </c>
    </row>
    <row r="217">
      <c r="A217" s="40" t="inlineStr">
        <is>
          <t>54649624320238090067</t>
        </is>
      </c>
      <c r="B217" s="40" t="inlineStr">
        <is>
          <t>Outras</t>
        </is>
      </c>
      <c r="D217" s="67" t="inlineStr">
        <is>
          <t>Renata Francisco Becker</t>
        </is>
      </c>
      <c r="E217" s="62" t="n">
        <v>45562</v>
      </c>
      <c r="F217" s="67" t="inlineStr"/>
      <c r="I217" s="67" t="inlineStr"/>
      <c r="J217" s="67" t="inlineStr">
        <is>
          <t>Prazo</t>
        </is>
      </c>
      <c r="K217" s="62" t="n">
        <v>46038</v>
      </c>
      <c r="L217" s="67" t="inlineStr">
        <is>
          <t>Jessica</t>
        </is>
      </c>
      <c r="M217" s="40" t="inlineStr">
        <is>
          <t>Cumprido</t>
        </is>
      </c>
      <c r="N217" s="62" t="n">
        <v>46038</v>
      </c>
      <c r="O217" s="67" t="inlineStr">
        <is>
          <t>Elaboração de modelos e apresentação</t>
        </is>
      </c>
    </row>
    <row r="218">
      <c r="A218" s="40" t="n"/>
      <c r="B218" s="40" t="inlineStr">
        <is>
          <t>Outras</t>
        </is>
      </c>
      <c r="D218" s="67" t="inlineStr">
        <is>
          <t>Marelize Controladoria</t>
        </is>
      </c>
      <c r="E218" s="62" t="n">
        <v>46062</v>
      </c>
      <c r="I218" s="67" t="inlineStr">
        <is>
          <t>5001708-12.2021.8.24.0166</t>
        </is>
      </c>
      <c r="J218" s="67" t="inlineStr">
        <is>
          <t>Prazo</t>
        </is>
      </c>
      <c r="K218" s="62" t="n">
        <v>46038</v>
      </c>
      <c r="L218" s="67" t="inlineStr">
        <is>
          <t xml:space="preserve">Alexia </t>
        </is>
      </c>
      <c r="M218" s="40" t="inlineStr">
        <is>
          <t>Cumprido</t>
        </is>
      </c>
      <c r="N218" s="62" t="n">
        <v>46038</v>
      </c>
      <c r="O218" s="67" t="inlineStr">
        <is>
          <t>GUIAS MENSAIS COLONETTI</t>
        </is>
      </c>
    </row>
    <row r="219">
      <c r="A219" s="40" t="inlineStr">
        <is>
          <t>5003401-57.2021.8.24.0028</t>
        </is>
      </c>
      <c r="B219" s="40" t="inlineStr">
        <is>
          <t>Outras</t>
        </is>
      </c>
      <c r="D219" s="67" t="inlineStr">
        <is>
          <t>Renata Francisco Becker</t>
        </is>
      </c>
      <c r="E219" s="62" t="n">
        <v>44701</v>
      </c>
      <c r="F219" s="67" t="inlineStr">
        <is>
          <t>Juizo Da 1ª Vara Da Comarca De Icara</t>
        </is>
      </c>
      <c r="I219" s="67" t="inlineStr">
        <is>
          <t>50138404920248240020</t>
        </is>
      </c>
      <c r="J219" s="67" t="inlineStr">
        <is>
          <t>Prazo</t>
        </is>
      </c>
      <c r="K219" s="62" t="n">
        <v>46038</v>
      </c>
      <c r="L219" s="67" t="inlineStr">
        <is>
          <t>Julia</t>
        </is>
      </c>
      <c r="M219" s="40" t="inlineStr">
        <is>
          <t>Cumprido</t>
        </is>
      </c>
      <c r="N219" s="62" t="n">
        <v>46038</v>
      </c>
      <c r="O219" s="67" t="inlineStr">
        <is>
          <t>Prazo  EDU VILA</t>
        </is>
      </c>
    </row>
    <row r="220">
      <c r="A220" s="40" t="inlineStr">
        <is>
          <t>0300014-17.2019.8.24.0028</t>
        </is>
      </c>
      <c r="B220" s="40" t="inlineStr">
        <is>
          <t>Outras</t>
        </is>
      </c>
      <c r="D220" s="67" t="inlineStr">
        <is>
          <t>Renata Francisco Becker</t>
        </is>
      </c>
      <c r="E220" s="62" t="n">
        <v>45027</v>
      </c>
      <c r="F220" s="67" t="inlineStr">
        <is>
          <t>1ª Vara</t>
        </is>
      </c>
      <c r="I220" s="67" t="inlineStr"/>
      <c r="J220" s="67" t="inlineStr">
        <is>
          <t>Tarefa</t>
        </is>
      </c>
      <c r="K220" s="62" t="n">
        <v>46038</v>
      </c>
      <c r="L220" s="67" t="inlineStr">
        <is>
          <t xml:space="preserve">Lucas </t>
        </is>
      </c>
      <c r="M220" s="40" t="inlineStr">
        <is>
          <t>Cumprido</t>
        </is>
      </c>
      <c r="N220" s="62" t="n">
        <v>46038</v>
      </c>
      <c r="O220" s="67" t="inlineStr">
        <is>
          <t>16/01/2026 - CONFERIR ATIVIDADES MONITORADAS</t>
        </is>
      </c>
    </row>
    <row r="221">
      <c r="A221" s="40" t="inlineStr">
        <is>
          <t>5005745-93.2025.8.24.0020</t>
        </is>
      </c>
      <c r="B221" s="40" t="inlineStr">
        <is>
          <t>Outras</t>
        </is>
      </c>
      <c r="D221" s="67" t="inlineStr">
        <is>
          <t>Renata Francisco Becker</t>
        </is>
      </c>
      <c r="E221" s="62" t="n">
        <v>45776</v>
      </c>
      <c r="F221" s="67" t="inlineStr">
        <is>
          <t>Vara Cível</t>
        </is>
      </c>
      <c r="I221" s="67" t="inlineStr"/>
      <c r="J221" s="67" t="inlineStr">
        <is>
          <t>Tarefa</t>
        </is>
      </c>
      <c r="K221" s="62" t="n">
        <v>46038</v>
      </c>
      <c r="L221" s="67" t="inlineStr">
        <is>
          <t>Jessica</t>
        </is>
      </c>
      <c r="M221" s="40" t="inlineStr">
        <is>
          <t>Cumprido</t>
        </is>
      </c>
      <c r="N221" s="62" t="n">
        <v>46038</v>
      </c>
      <c r="O221" s="67" t="inlineStr">
        <is>
          <t xml:space="preserve">Analisar parcelamento </t>
        </is>
      </c>
    </row>
    <row r="222">
      <c r="A222" s="40" t="inlineStr">
        <is>
          <t>50130805120248240004</t>
        </is>
      </c>
      <c r="B222" s="40" t="inlineStr">
        <is>
          <t>Outras</t>
        </is>
      </c>
      <c r="D222" s="67" t="inlineStr">
        <is>
          <t>Renata Francisco Becker</t>
        </is>
      </c>
      <c r="E222" s="62" t="n">
        <v>45755</v>
      </c>
      <c r="F222" s="67" t="inlineStr">
        <is>
          <t>Vara Cível</t>
        </is>
      </c>
      <c r="I222" s="67" t="inlineStr">
        <is>
          <t>50138404920248240020</t>
        </is>
      </c>
      <c r="J222" s="67" t="inlineStr">
        <is>
          <t>Tarefa</t>
        </is>
      </c>
      <c r="K222" s="62" t="n">
        <v>46038</v>
      </c>
      <c r="L222" s="67" t="inlineStr">
        <is>
          <t>Julia</t>
        </is>
      </c>
      <c r="M222" s="40" t="inlineStr">
        <is>
          <t>Cumprido</t>
        </is>
      </c>
      <c r="N222" s="62" t="n">
        <v>46038</v>
      </c>
      <c r="O222" s="67" t="inlineStr">
        <is>
          <t>Elaboração</t>
        </is>
      </c>
    </row>
    <row r="223">
      <c r="A223" s="40" t="inlineStr">
        <is>
          <t>5000554-09.2026.8.24.0028</t>
        </is>
      </c>
      <c r="B223" s="40" t="inlineStr">
        <is>
          <t>Outras</t>
        </is>
      </c>
      <c r="D223" s="67" t="inlineStr">
        <is>
          <t>Marelize Controladoria</t>
        </is>
      </c>
      <c r="E223" s="62" t="n">
        <v>46052</v>
      </c>
      <c r="F223" s="67" t="inlineStr">
        <is>
          <t>Juízo da 1ª Vara Cível da Comarca de Içara</t>
        </is>
      </c>
      <c r="I223" s="67" t="inlineStr"/>
      <c r="J223" s="67" t="inlineStr">
        <is>
          <t>Tarefa</t>
        </is>
      </c>
      <c r="K223" s="62" t="n">
        <v>46038</v>
      </c>
      <c r="L223" s="67" t="inlineStr">
        <is>
          <t xml:space="preserve">Lucas </t>
        </is>
      </c>
      <c r="M223" s="40" t="inlineStr">
        <is>
          <t>Cumprido</t>
        </is>
      </c>
      <c r="N223" s="62" t="n">
        <v>46038</v>
      </c>
      <c r="O223" s="67" t="inlineStr">
        <is>
          <t>Implementação (Documentos e orientações)</t>
        </is>
      </c>
    </row>
    <row r="224">
      <c r="A224" s="40" t="inlineStr">
        <is>
          <t>5005356-82.2024.8.24.0040</t>
        </is>
      </c>
      <c r="B224" s="40" t="inlineStr">
        <is>
          <t>Outras</t>
        </is>
      </c>
      <c r="D224" s="67" t="inlineStr">
        <is>
          <t>Renata Francisco Becker</t>
        </is>
      </c>
      <c r="E224" s="62" t="n">
        <v>45754</v>
      </c>
      <c r="F224" s="67" t="inlineStr"/>
      <c r="I224" s="67" t="inlineStr"/>
      <c r="J224" s="67" t="inlineStr">
        <is>
          <t>Tarefa</t>
        </is>
      </c>
      <c r="K224" s="62" t="n">
        <v>46038</v>
      </c>
      <c r="L224" s="67" t="inlineStr">
        <is>
          <t xml:space="preserve">Lucas </t>
        </is>
      </c>
      <c r="M224" s="40" t="inlineStr">
        <is>
          <t>Cumprido</t>
        </is>
      </c>
      <c r="N224" s="62" t="n">
        <v>46038</v>
      </c>
      <c r="O224" s="67" t="inlineStr">
        <is>
          <t>Implementação (Documentos e orientações)</t>
        </is>
      </c>
    </row>
    <row r="225">
      <c r="A225" s="40" t="inlineStr">
        <is>
          <t>5028207-44.2025.8.24.0020</t>
        </is>
      </c>
      <c r="B225" s="40" t="inlineStr">
        <is>
          <t>Outras</t>
        </is>
      </c>
      <c r="D225" s="67" t="inlineStr">
        <is>
          <t>Renata Francisco Becker</t>
        </is>
      </c>
      <c r="E225" s="62" t="n">
        <v>45845</v>
      </c>
      <c r="F225" s="67" t="inlineStr">
        <is>
          <t>juizado especial civel</t>
        </is>
      </c>
      <c r="I225" s="67" t="inlineStr">
        <is>
          <t>054793.0089949/2025</t>
        </is>
      </c>
      <c r="J225" s="67" t="inlineStr">
        <is>
          <t>Tarefa</t>
        </is>
      </c>
      <c r="K225" s="62" t="n">
        <v>46038</v>
      </c>
      <c r="L225" s="67" t="inlineStr">
        <is>
          <t xml:space="preserve">Lucas </t>
        </is>
      </c>
      <c r="M225" s="40" t="inlineStr">
        <is>
          <t>Cumprido</t>
        </is>
      </c>
      <c r="N225" s="62" t="n">
        <v>46038</v>
      </c>
      <c r="O225" s="67" t="inlineStr">
        <is>
          <t>Protocolo</t>
        </is>
      </c>
    </row>
    <row r="226">
      <c r="A226" s="40" t="inlineStr">
        <is>
          <t>5006682-06.2023.8.24.0075</t>
        </is>
      </c>
      <c r="B226" s="40" t="inlineStr">
        <is>
          <t>Outras</t>
        </is>
      </c>
      <c r="D226" s="67" t="inlineStr">
        <is>
          <t>Renata Francisco Becker</t>
        </is>
      </c>
      <c r="E226" s="62" t="n">
        <v>45357</v>
      </c>
      <c r="F226" s="67" t="inlineStr">
        <is>
          <t>Juízo da 3ª Vara Cível da Comarca de Tubarão</t>
        </is>
      </c>
      <c r="I226" s="67" t="inlineStr">
        <is>
          <t>50097130520238240020</t>
        </is>
      </c>
      <c r="J226" s="67" t="inlineStr">
        <is>
          <t>Tarefa</t>
        </is>
      </c>
      <c r="K226" s="62" t="n">
        <v>46038</v>
      </c>
      <c r="L226" s="67" t="inlineStr">
        <is>
          <t xml:space="preserve">Alexia </t>
        </is>
      </c>
      <c r="M226" s="40" t="inlineStr">
        <is>
          <t>Cumprido</t>
        </is>
      </c>
      <c r="N226" s="62" t="n">
        <v>46038</v>
      </c>
      <c r="O226" s="67" t="inlineStr">
        <is>
          <t>Protocolo</t>
        </is>
      </c>
    </row>
    <row r="227">
      <c r="A227" s="40" t="inlineStr">
        <is>
          <t>5000740-56.2026.8.24.0020</t>
        </is>
      </c>
      <c r="B227" s="40" t="inlineStr">
        <is>
          <t>Outras</t>
        </is>
      </c>
      <c r="D227" s="67" t="inlineStr">
        <is>
          <t>Marelize Controladoria</t>
        </is>
      </c>
      <c r="E227" s="62" t="n">
        <v>46086</v>
      </c>
      <c r="F227" s="67" t="inlineStr">
        <is>
          <t>Juízo da 1ª Vara Criminal da Comarca de Criciúma</t>
        </is>
      </c>
      <c r="I227" s="67" t="inlineStr"/>
      <c r="J227" s="67" t="inlineStr">
        <is>
          <t>Tarefa</t>
        </is>
      </c>
      <c r="K227" s="62" t="n">
        <v>46038</v>
      </c>
      <c r="L227" s="67" t="inlineStr">
        <is>
          <t>Renata Francisco Becker</t>
        </is>
      </c>
      <c r="M227" s="40" t="inlineStr">
        <is>
          <t>Cumprido</t>
        </is>
      </c>
      <c r="N227" s="62" t="n">
        <v>46038</v>
      </c>
      <c r="O227" s="67" t="inlineStr">
        <is>
          <t>Divórcio Bruno Pires</t>
        </is>
      </c>
    </row>
    <row r="228">
      <c r="A228" s="40" t="inlineStr">
        <is>
          <t>5015535-04.2025.8.24.0020</t>
        </is>
      </c>
      <c r="B228" s="40" t="inlineStr">
        <is>
          <t>Outras</t>
        </is>
      </c>
      <c r="D228" s="67" t="inlineStr">
        <is>
          <t>Renata Francisco Becker</t>
        </is>
      </c>
      <c r="E228" s="62" t="n">
        <v>45876</v>
      </c>
      <c r="F228" s="67" t="inlineStr"/>
      <c r="I228" s="67" t="inlineStr">
        <is>
          <t>5006782-58.2025.8.24.0020</t>
        </is>
      </c>
      <c r="J228" s="67" t="inlineStr">
        <is>
          <t>Tarefa</t>
        </is>
      </c>
      <c r="K228" s="62" t="n">
        <v>46038</v>
      </c>
      <c r="L228" s="67" t="inlineStr">
        <is>
          <t>Renata Francisco Becker</t>
        </is>
      </c>
      <c r="M228" s="40" t="inlineStr">
        <is>
          <t>Cumprido</t>
        </is>
      </c>
      <c r="N228" s="62" t="n">
        <v>46038</v>
      </c>
      <c r="O228" s="67" t="inlineStr">
        <is>
          <t>Revisão</t>
        </is>
      </c>
    </row>
    <row r="229">
      <c r="A229" s="40" t="inlineStr">
        <is>
          <t>5008428-32.2026.8.24.0000</t>
        </is>
      </c>
      <c r="B229" s="40" t="inlineStr">
        <is>
          <t>Outras</t>
        </is>
      </c>
      <c r="D229" s="67" t="inlineStr">
        <is>
          <t>Marelize Controladoria</t>
        </is>
      </c>
      <c r="E229" s="62" t="n">
        <v>46059</v>
      </c>
      <c r="F229" s="67" t="inlineStr">
        <is>
          <t>Gab. 03 - 10ª Câmara de Direito Civil</t>
        </is>
      </c>
      <c r="I229" s="67" t="inlineStr">
        <is>
          <t>054793.0089949/2025</t>
        </is>
      </c>
      <c r="J229" s="67" t="inlineStr">
        <is>
          <t>Tarefa</t>
        </is>
      </c>
      <c r="K229" s="62" t="n">
        <v>46038</v>
      </c>
      <c r="L229" s="67" t="inlineStr">
        <is>
          <t xml:space="preserve">Lucas </t>
        </is>
      </c>
      <c r="M229" s="40" t="inlineStr">
        <is>
          <t>Cumprido</t>
        </is>
      </c>
      <c r="N229" s="62" t="n">
        <v>46038</v>
      </c>
      <c r="O229" s="67" t="inlineStr">
        <is>
          <t>Revisão</t>
        </is>
      </c>
    </row>
    <row r="230">
      <c r="A230" s="40" t="inlineStr">
        <is>
          <t>5007226-28.2024.8.24.0020</t>
        </is>
      </c>
      <c r="B230" s="40" t="inlineStr">
        <is>
          <t>Outras</t>
        </is>
      </c>
      <c r="D230" s="67" t="inlineStr">
        <is>
          <t>Renata Francisco Becker</t>
        </is>
      </c>
      <c r="E230" s="62" t="n">
        <v>45377</v>
      </c>
      <c r="F230" s="67" t="inlineStr"/>
      <c r="I230" s="67" t="inlineStr">
        <is>
          <t>054793.0089949/2025</t>
        </is>
      </c>
      <c r="J230" s="67" t="inlineStr">
        <is>
          <t>Tarefa</t>
        </is>
      </c>
      <c r="K230" s="62" t="n">
        <v>46038</v>
      </c>
      <c r="L230" s="67" t="inlineStr">
        <is>
          <t>Renata Francisco Becker</t>
        </is>
      </c>
      <c r="M230" s="40" t="inlineStr">
        <is>
          <t>Cumprido</t>
        </is>
      </c>
      <c r="N230" s="62" t="n">
        <v>46038</v>
      </c>
      <c r="O230" s="67" t="inlineStr">
        <is>
          <t>Revisão</t>
        </is>
      </c>
    </row>
    <row r="231">
      <c r="A231" s="40" t="inlineStr">
        <is>
          <t>4007754-35.2026.8.26.0576</t>
        </is>
      </c>
      <c r="B231" s="40" t="inlineStr">
        <is>
          <t>Outras</t>
        </is>
      </c>
      <c r="D231" s="67" t="inlineStr">
        <is>
          <t>Marelize Controladoria</t>
        </is>
      </c>
      <c r="E231" s="62" t="n">
        <v>46092</v>
      </c>
      <c r="F231" s="67" t="inlineStr">
        <is>
          <t>Juízo Titular I - 2ª Vara do Juizado Especial Cível da Comarca de São José do Rio Preto</t>
        </is>
      </c>
      <c r="I231" s="67" t="inlineStr">
        <is>
          <t>5006782-58.2025.8.24.0020</t>
        </is>
      </c>
      <c r="J231" s="67" t="inlineStr">
        <is>
          <t>Tarefa</t>
        </is>
      </c>
      <c r="K231" s="62" t="n">
        <v>46038</v>
      </c>
      <c r="L231" s="67" t="inlineStr">
        <is>
          <t xml:space="preserve">Alexia </t>
        </is>
      </c>
      <c r="M231" s="40" t="inlineStr">
        <is>
          <t>Cumprido</t>
        </is>
      </c>
      <c r="N231" s="62" t="n">
        <v>46038</v>
      </c>
      <c r="O231" s="67" t="inlineStr">
        <is>
          <t>Revisão</t>
        </is>
      </c>
    </row>
    <row r="232">
      <c r="A232" s="40" t="n"/>
      <c r="B232" s="40" t="inlineStr">
        <is>
          <t>Outras</t>
        </is>
      </c>
      <c r="D232" s="67" t="inlineStr">
        <is>
          <t>Pedro Victor</t>
        </is>
      </c>
      <c r="E232" s="62" t="n">
        <v>45741</v>
      </c>
      <c r="I232" s="67" t="inlineStr">
        <is>
          <t>0000892-11.2022.5.12.0055</t>
        </is>
      </c>
      <c r="J232" s="67" t="inlineStr">
        <is>
          <t>Tarefa</t>
        </is>
      </c>
      <c r="K232" s="62" t="n">
        <v>46038</v>
      </c>
      <c r="L232" s="67" t="inlineStr">
        <is>
          <t>Pedro Victor</t>
        </is>
      </c>
      <c r="M232" s="40" t="inlineStr">
        <is>
          <t>Cumprido</t>
        </is>
      </c>
      <c r="N232" s="62" t="n">
        <v>46038</v>
      </c>
      <c r="O232" s="67" t="inlineStr">
        <is>
          <t xml:space="preserve">16/01/2026 - Pagamento parcela 1/13 acordo valor de 3000,
Descontar os honorários e repassar para a cliente
Deposito recebido na conta da Transpocred </t>
        </is>
      </c>
    </row>
    <row r="233">
      <c r="A233" s="40" t="inlineStr">
        <is>
          <t>50617396920258240000</t>
        </is>
      </c>
      <c r="B233" s="40" t="inlineStr">
        <is>
          <t>Outras</t>
        </is>
      </c>
      <c r="D233" s="67" t="inlineStr">
        <is>
          <t>Renata Francisco Becker</t>
        </is>
      </c>
      <c r="E233" s="62" t="n">
        <v>45875</v>
      </c>
      <c r="F233" s="67" t="inlineStr">
        <is>
          <t>Câmara de Direito Comercial</t>
        </is>
      </c>
      <c r="I233" s="67" t="inlineStr"/>
      <c r="J233" s="67" t="inlineStr">
        <is>
          <t>Tarefa</t>
        </is>
      </c>
      <c r="K233" s="62" t="n">
        <v>46038</v>
      </c>
      <c r="L233" s="67" t="inlineStr">
        <is>
          <t>Julia</t>
        </is>
      </c>
      <c r="M233" s="40" t="inlineStr">
        <is>
          <t>Cumprido</t>
        </is>
      </c>
      <c r="N233" s="62" t="n">
        <v>46038</v>
      </c>
      <c r="O233" s="67" t="inlineStr">
        <is>
          <t>16/01/2026 - Verificar atividades monitoradas</t>
        </is>
      </c>
    </row>
    <row r="234">
      <c r="A234" s="40" t="n"/>
      <c r="B234" s="40" t="inlineStr">
        <is>
          <t>Outras</t>
        </is>
      </c>
      <c r="D234" s="67" t="inlineStr">
        <is>
          <t>Luci</t>
        </is>
      </c>
      <c r="E234" s="62" t="n">
        <v>45743</v>
      </c>
      <c r="I234" s="67" t="inlineStr"/>
      <c r="J234" s="67" t="inlineStr">
        <is>
          <t>Tarefa</t>
        </is>
      </c>
      <c r="K234" s="62" t="n">
        <v>46038</v>
      </c>
      <c r="L234" s="67" t="inlineStr">
        <is>
          <t>Jessica</t>
        </is>
      </c>
      <c r="M234" s="40" t="inlineStr">
        <is>
          <t>Cumprido</t>
        </is>
      </c>
      <c r="N234" s="62" t="n">
        <v>46038</v>
      </c>
      <c r="O234" s="67" t="inlineStr">
        <is>
          <t xml:space="preserve">28/11/2025 - Emitir guia Sidnei Portal regularize </t>
        </is>
      </c>
    </row>
    <row r="235">
      <c r="A235" s="40" t="n"/>
      <c r="B235" s="40" t="inlineStr">
        <is>
          <t>Outras</t>
        </is>
      </c>
      <c r="D235" s="67" t="inlineStr">
        <is>
          <t>Luci</t>
        </is>
      </c>
      <c r="E235" s="62" t="n">
        <v>45573</v>
      </c>
      <c r="I235" s="67" t="inlineStr">
        <is>
          <t>5000777-25.2022.8.24.0020</t>
        </is>
      </c>
      <c r="J235" s="67" t="inlineStr">
        <is>
          <t>Tarefa</t>
        </is>
      </c>
      <c r="K235" s="62" t="n">
        <v>46038</v>
      </c>
      <c r="L235" s="67" t="inlineStr">
        <is>
          <t>Renata Francisco Becker</t>
        </is>
      </c>
      <c r="M235" s="40" t="inlineStr">
        <is>
          <t>Cumprido</t>
        </is>
      </c>
      <c r="N235" s="62" t="n">
        <v>46038</v>
      </c>
      <c r="O235" s="67" t="inlineStr">
        <is>
          <t>Alexia, dar retorno ao cliente. 
"Como está este processo?"</t>
        </is>
      </c>
    </row>
    <row r="236">
      <c r="A236" s="40" t="n"/>
      <c r="B236" s="40" t="inlineStr">
        <is>
          <t>Outras</t>
        </is>
      </c>
      <c r="D236" s="67" t="inlineStr">
        <is>
          <t>Marelize Controladoria</t>
        </is>
      </c>
      <c r="E236" s="62" t="n">
        <v>46086</v>
      </c>
      <c r="I236" s="67" t="inlineStr"/>
      <c r="J236" s="67" t="inlineStr">
        <is>
          <t>Tarefa</t>
        </is>
      </c>
      <c r="K236" s="62" t="n">
        <v>46038</v>
      </c>
      <c r="L236" s="67" t="inlineStr">
        <is>
          <t>Julia</t>
        </is>
      </c>
      <c r="M236" s="40" t="inlineStr">
        <is>
          <t>Cumprido</t>
        </is>
      </c>
      <c r="N236" s="62" t="n">
        <v>46038</v>
      </c>
      <c r="O236" s="67" t="inlineStr">
        <is>
          <t xml:space="preserve">Auxilio Alaxandre, acompanhar. -  lembrar o cliente da pericia agendada: 26/01/2026 07:00 (horário de Brasília) - unidade: (20023030) - AGÊNCIA DA PREVIDÊNCIA SOCIAL CRICIÚMA), tens que levar os esses documentos.
</t>
        </is>
      </c>
    </row>
    <row r="237">
      <c r="A237" s="40" t="n"/>
      <c r="B237" s="40" t="inlineStr">
        <is>
          <t>Outras</t>
        </is>
      </c>
      <c r="D237" s="67" t="inlineStr">
        <is>
          <t>Marelize Controladoria</t>
        </is>
      </c>
      <c r="E237" s="62" t="n">
        <v>46086</v>
      </c>
      <c r="I237" s="67" t="inlineStr"/>
      <c r="J237" s="67" t="inlineStr">
        <is>
          <t>Tarefa</t>
        </is>
      </c>
      <c r="K237" s="62" t="n">
        <v>46038</v>
      </c>
      <c r="L237" s="67" t="inlineStr">
        <is>
          <t>Renata Francisco Becker</t>
        </is>
      </c>
      <c r="M237" s="40" t="inlineStr">
        <is>
          <t>Cumprido</t>
        </is>
      </c>
      <c r="N237" s="62" t="n">
        <v>46038</v>
      </c>
      <c r="O237" s="67" t="inlineStr">
        <is>
          <t>Caso Wanderlei, irá enviar o distrato para analisar</t>
        </is>
      </c>
    </row>
    <row r="238">
      <c r="A238" s="40" t="n"/>
      <c r="B238" s="40" t="inlineStr">
        <is>
          <t>Outras</t>
        </is>
      </c>
      <c r="D238" s="67" t="inlineStr">
        <is>
          <t>Marelize Controladoria</t>
        </is>
      </c>
      <c r="E238" s="62" t="n">
        <v>46086</v>
      </c>
      <c r="I238" s="67" t="inlineStr"/>
      <c r="J238" s="67" t="inlineStr">
        <is>
          <t>Tarefa</t>
        </is>
      </c>
      <c r="K238" s="62" t="n">
        <v>46038</v>
      </c>
      <c r="L238" s="67" t="inlineStr">
        <is>
          <t>Julia</t>
        </is>
      </c>
      <c r="M238" s="40" t="inlineStr">
        <is>
          <t>Cumprido</t>
        </is>
      </c>
      <c r="N238" s="62" t="n">
        <v>46038</v>
      </c>
      <c r="O238" s="67" t="inlineStr">
        <is>
          <t>Conferencia Cliente</t>
        </is>
      </c>
    </row>
    <row r="239">
      <c r="A239" s="40" t="n"/>
      <c r="B239" s="40" t="inlineStr">
        <is>
          <t>Outras</t>
        </is>
      </c>
      <c r="D239" s="67" t="inlineStr">
        <is>
          <t>Marelize Controladoria</t>
        </is>
      </c>
      <c r="E239" s="62" t="n">
        <v>46086</v>
      </c>
      <c r="I239" s="67" t="inlineStr"/>
      <c r="J239" s="67" t="inlineStr">
        <is>
          <t>Tarefa</t>
        </is>
      </c>
      <c r="K239" s="62" t="n">
        <v>46038</v>
      </c>
      <c r="L239" s="67" t="inlineStr">
        <is>
          <t xml:space="preserve">Alexia </t>
        </is>
      </c>
      <c r="M239" s="40" t="inlineStr">
        <is>
          <t>Cumprido</t>
        </is>
      </c>
      <c r="N239" s="62" t="n">
        <v>46038</v>
      </c>
      <c r="O239" s="67" t="inlineStr">
        <is>
          <t>Elaboração</t>
        </is>
      </c>
    </row>
    <row r="240">
      <c r="A240" s="40" t="n"/>
      <c r="B240" s="40" t="inlineStr">
        <is>
          <t>Outras</t>
        </is>
      </c>
      <c r="D240" s="67" t="inlineStr">
        <is>
          <t>Marelize Controladoria</t>
        </is>
      </c>
      <c r="E240" s="62" t="n">
        <v>46086</v>
      </c>
      <c r="I240" s="67" t="inlineStr">
        <is>
          <t>50006362720268240000</t>
        </is>
      </c>
      <c r="J240" s="67" t="inlineStr">
        <is>
          <t>Tarefa</t>
        </is>
      </c>
      <c r="K240" s="62" t="n">
        <v>46038</v>
      </c>
      <c r="L240" s="67" t="inlineStr">
        <is>
          <t>Jessica</t>
        </is>
      </c>
      <c r="M240" s="40" t="inlineStr">
        <is>
          <t>Cumprido</t>
        </is>
      </c>
      <c r="N240" s="62" t="n">
        <v>46038</v>
      </c>
      <c r="O240" s="67" t="inlineStr">
        <is>
          <t>Elaboração</t>
        </is>
      </c>
    </row>
    <row r="241">
      <c r="A241" s="40" t="n"/>
      <c r="B241" s="40" t="inlineStr">
        <is>
          <t>Outras</t>
        </is>
      </c>
      <c r="D241" s="67" t="inlineStr">
        <is>
          <t>Marelize Controladoria</t>
        </is>
      </c>
      <c r="E241" s="62" t="n">
        <v>46086</v>
      </c>
      <c r="I241" s="67" t="inlineStr"/>
      <c r="J241" s="67" t="inlineStr">
        <is>
          <t>Tarefa</t>
        </is>
      </c>
      <c r="K241" s="62" t="n">
        <v>46038</v>
      </c>
      <c r="L241" s="67" t="inlineStr">
        <is>
          <t>Jessica</t>
        </is>
      </c>
      <c r="M241" s="40" t="inlineStr">
        <is>
          <t>Cumprido</t>
        </is>
      </c>
      <c r="N241" s="62" t="n">
        <v>46038</v>
      </c>
      <c r="O241" s="67" t="inlineStr">
        <is>
          <t>Elaboração de clausula tributária</t>
        </is>
      </c>
    </row>
    <row r="242">
      <c r="A242" s="40" t="n"/>
      <c r="B242" s="40" t="inlineStr">
        <is>
          <t>Outras</t>
        </is>
      </c>
      <c r="D242" s="67" t="inlineStr">
        <is>
          <t>Marelize Controladoria</t>
        </is>
      </c>
      <c r="E242" s="62" t="n">
        <v>46086</v>
      </c>
      <c r="I242" s="67" t="inlineStr">
        <is>
          <t>5020732-76.2021.8.24.0020</t>
        </is>
      </c>
      <c r="J242" s="67" t="inlineStr">
        <is>
          <t>Tarefa</t>
        </is>
      </c>
      <c r="K242" s="62" t="n">
        <v>46038</v>
      </c>
      <c r="L242" s="67" t="inlineStr">
        <is>
          <t>Julia</t>
        </is>
      </c>
      <c r="M242" s="40" t="inlineStr">
        <is>
          <t>Cumprido</t>
        </is>
      </c>
      <c r="N242" s="62" t="n">
        <v>46038</v>
      </c>
      <c r="O242" s="67" t="inlineStr">
        <is>
          <t xml:space="preserve">Emitir a guia do depósito judicial para pagamento do aluguel da casa, para o Marcos fazer o pagamento. Vencimento até o dia 30. 
É emissão de guia de subconta. </t>
        </is>
      </c>
    </row>
    <row r="243">
      <c r="A243" s="40" t="n"/>
      <c r="B243" s="40" t="inlineStr">
        <is>
          <t>Outras</t>
        </is>
      </c>
      <c r="D243" s="67" t="inlineStr">
        <is>
          <t>Marelize Controladoria</t>
        </is>
      </c>
      <c r="E243" s="62" t="n">
        <v>46086</v>
      </c>
      <c r="I243" s="67" t="inlineStr"/>
      <c r="J243" s="67" t="inlineStr">
        <is>
          <t>Tarefa</t>
        </is>
      </c>
      <c r="K243" s="62" t="n">
        <v>46038</v>
      </c>
      <c r="L243" s="67" t="inlineStr">
        <is>
          <t>Jessica</t>
        </is>
      </c>
      <c r="M243" s="40" t="inlineStr">
        <is>
          <t>Cumprido</t>
        </is>
      </c>
      <c r="N243" s="62" t="n">
        <v>46038</v>
      </c>
      <c r="O243" s="67" t="inlineStr">
        <is>
          <t xml:space="preserve">Entrar em contato com Jaqueline pra ver a situação deles junto à prefeitura de Siderópolis e de Urussanga sobre a emissão de nota fiscal de serviço a divergência de códigos que a prefeitura tá tendo com um sistema novo nacional </t>
        </is>
      </c>
    </row>
    <row r="244">
      <c r="A244" s="40" t="n"/>
      <c r="B244" s="40" t="inlineStr">
        <is>
          <t>Outras</t>
        </is>
      </c>
      <c r="D244" s="67" t="inlineStr">
        <is>
          <t>Marelize Controladoria</t>
        </is>
      </c>
      <c r="E244" s="62" t="n">
        <v>46086</v>
      </c>
      <c r="I244" s="67" t="inlineStr"/>
      <c r="J244" s="67" t="inlineStr">
        <is>
          <t>Tarefa</t>
        </is>
      </c>
      <c r="K244" s="62" t="n">
        <v>46038</v>
      </c>
      <c r="L244" s="67" t="inlineStr">
        <is>
          <t xml:space="preserve">Lucas </t>
        </is>
      </c>
      <c r="M244" s="40" t="inlineStr">
        <is>
          <t>Cumprido</t>
        </is>
      </c>
      <c r="N244" s="62" t="n">
        <v>46038</v>
      </c>
      <c r="O244" s="67" t="inlineStr">
        <is>
          <t>Implementação (Documentos e orientações)</t>
        </is>
      </c>
    </row>
    <row r="245">
      <c r="A245" s="40" t="inlineStr">
        <is>
          <t>5030325-75.2025.4.04.7200</t>
        </is>
      </c>
      <c r="B245" s="40" t="inlineStr">
        <is>
          <t>Outras</t>
        </is>
      </c>
      <c r="D245" s="67" t="inlineStr">
        <is>
          <t>Renata Francisco Becker</t>
        </is>
      </c>
      <c r="E245" s="62" t="n">
        <v>45880</v>
      </c>
      <c r="F245" s="67" t="inlineStr">
        <is>
          <t>6° VF</t>
        </is>
      </c>
      <c r="I245" s="67" t="inlineStr"/>
      <c r="J245" s="67" t="inlineStr">
        <is>
          <t>Tarefa</t>
        </is>
      </c>
      <c r="K245" s="62" t="n">
        <v>46038</v>
      </c>
      <c r="L245" s="67" t="inlineStr">
        <is>
          <t>Marelize Controladoria</t>
        </is>
      </c>
      <c r="M245" s="40" t="inlineStr">
        <is>
          <t>Cumprido</t>
        </is>
      </c>
      <c r="N245" s="62" t="n">
        <v>46038</v>
      </c>
      <c r="O245" s="67" t="inlineStr">
        <is>
          <t>Mare, estrategia inicial: grupo 1 e grupo 2, processo com e sem movimentação. Você ja conseguiu fazer? estou dando ok, aqui no impresso da naty.
E, horario limite, estabelecer horario padrão para protocolo: achoq ue não fizemos isso, pensei em colocarmos na proria atividade pre existente, protocola até as 16h, o que ahca?</t>
        </is>
      </c>
    </row>
    <row r="246">
      <c r="A246" s="40" t="n"/>
      <c r="B246" s="40" t="inlineStr">
        <is>
          <t>Outras</t>
        </is>
      </c>
      <c r="D246" s="67" t="inlineStr">
        <is>
          <t>Marelize Controladoria</t>
        </is>
      </c>
      <c r="E246" s="62" t="n">
        <v>46086</v>
      </c>
      <c r="I246" s="67" t="inlineStr"/>
      <c r="J246" s="67" t="inlineStr">
        <is>
          <t>Tarefa</t>
        </is>
      </c>
      <c r="K246" s="62" t="n">
        <v>46038</v>
      </c>
      <c r="L246" s="67" t="inlineStr">
        <is>
          <t>Pedro Victor</t>
        </is>
      </c>
      <c r="M246" s="40" t="inlineStr">
        <is>
          <t>Cumprido</t>
        </is>
      </c>
      <c r="N246" s="62" t="n">
        <v>46038</v>
      </c>
      <c r="O246" s="67" t="inlineStr">
        <is>
          <t xml:space="preserve">Negociar reajuste nova veneza </t>
        </is>
      </c>
    </row>
    <row r="247">
      <c r="A247" s="40" t="inlineStr">
        <is>
          <t>5004657-10.2021.8.24.0004</t>
        </is>
      </c>
      <c r="B247" s="40" t="inlineStr">
        <is>
          <t>Outras</t>
        </is>
      </c>
      <c r="D247" s="67" t="inlineStr">
        <is>
          <t>Marelize Controladoria</t>
        </is>
      </c>
      <c r="E247" s="62" t="n">
        <v>46065</v>
      </c>
      <c r="F247" s="67" t="inlineStr">
        <is>
          <t>Juízo da 1ª Vara Cível da Comarca de Araranguá</t>
        </is>
      </c>
      <c r="I247" s="67" t="inlineStr"/>
      <c r="J247" s="67" t="inlineStr">
        <is>
          <t>Tarefa</t>
        </is>
      </c>
      <c r="K247" s="62" t="n">
        <v>46038</v>
      </c>
      <c r="L247" s="67" t="inlineStr">
        <is>
          <t>Renata Francisco Becker</t>
        </is>
      </c>
      <c r="M247" s="40" t="inlineStr">
        <is>
          <t>Cumprido</t>
        </is>
      </c>
      <c r="N247" s="62" t="n">
        <v>46038</v>
      </c>
      <c r="O247" s="67" t="inlineStr">
        <is>
          <t>Revisão</t>
        </is>
      </c>
    </row>
    <row r="248">
      <c r="A248" s="40" t="inlineStr">
        <is>
          <t>5010752-35.2026.4.04.7000</t>
        </is>
      </c>
      <c r="B248" s="40" t="inlineStr">
        <is>
          <t>Outras</t>
        </is>
      </c>
      <c r="D248" s="67" t="inlineStr">
        <is>
          <t>Marelize Controladoria</t>
        </is>
      </c>
      <c r="E248" s="62" t="n">
        <v>46086</v>
      </c>
      <c r="F248" s="67" t="inlineStr">
        <is>
          <t>Juízo Substituto da 1ª VF de Curitiba</t>
        </is>
      </c>
      <c r="I248" s="67" t="inlineStr"/>
      <c r="J248" s="67" t="inlineStr">
        <is>
          <t>Tarefa</t>
        </is>
      </c>
      <c r="K248" s="62" t="n">
        <v>46038</v>
      </c>
      <c r="L248" s="67" t="inlineStr">
        <is>
          <t>Julia</t>
        </is>
      </c>
      <c r="M248" s="40" t="inlineStr">
        <is>
          <t>Cumprido</t>
        </is>
      </c>
      <c r="N248" s="62" t="n">
        <v>46038</v>
      </c>
      <c r="O248" s="67" t="inlineStr">
        <is>
          <t>Revisão</t>
        </is>
      </c>
    </row>
    <row r="249">
      <c r="A249" s="40" t="inlineStr">
        <is>
          <t>5001344-90.2026.8.24.0028</t>
        </is>
      </c>
      <c r="B249" s="40" t="inlineStr">
        <is>
          <t>Outras</t>
        </is>
      </c>
      <c r="D249" s="67" t="inlineStr">
        <is>
          <t>Marelize Controladoria</t>
        </is>
      </c>
      <c r="E249" s="62" t="n">
        <v>46087</v>
      </c>
      <c r="F249" s="67" t="inlineStr">
        <is>
          <t>Juízo da 2ª Vara Cível da Comarca de Içara</t>
        </is>
      </c>
      <c r="I249" s="67" t="inlineStr">
        <is>
          <t>5007007-54.2025.8.24.0028</t>
        </is>
      </c>
      <c r="J249" s="67" t="inlineStr">
        <is>
          <t>Prazo</t>
        </is>
      </c>
      <c r="K249" s="62" t="n">
        <v>46041</v>
      </c>
      <c r="L249" s="67" t="inlineStr">
        <is>
          <t xml:space="preserve">Alexia </t>
        </is>
      </c>
      <c r="M249" s="40" t="inlineStr">
        <is>
          <t>Cumprido</t>
        </is>
      </c>
      <c r="N249" s="62" t="n">
        <v>46041</v>
      </c>
      <c r="O249" s="67" t="inlineStr">
        <is>
          <t>Agravo AJG</t>
        </is>
      </c>
    </row>
    <row r="250">
      <c r="A250" s="40" t="inlineStr">
        <is>
          <t>5006340-12.2018.4.04.7204</t>
        </is>
      </c>
      <c r="B250" s="40" t="inlineStr">
        <is>
          <t>Outras</t>
        </is>
      </c>
      <c r="D250" s="67" t="inlineStr">
        <is>
          <t>Renata Francisco Becker</t>
        </is>
      </c>
      <c r="E250" s="62" t="n">
        <v>44741</v>
      </c>
      <c r="F250" s="67" t="inlineStr">
        <is>
          <t>Juízo Substituto da 4ª VF de Criciúma</t>
        </is>
      </c>
      <c r="I250" s="67" t="inlineStr"/>
      <c r="J250" s="67" t="inlineStr">
        <is>
          <t>Prazo</t>
        </is>
      </c>
      <c r="K250" s="62" t="n">
        <v>46041</v>
      </c>
      <c r="L250" s="67" t="inlineStr">
        <is>
          <t>Julia</t>
        </is>
      </c>
      <c r="M250" s="40" t="inlineStr">
        <is>
          <t>Cumprido</t>
        </is>
      </c>
      <c r="N250" s="62" t="n">
        <v>46041</v>
      </c>
      <c r="O250" s="67" t="inlineStr">
        <is>
          <t xml:space="preserve">Analise de contrato JJ </t>
        </is>
      </c>
    </row>
    <row r="251">
      <c r="A251" s="40" t="inlineStr">
        <is>
          <t>5030235-87.2022.8.24.0020</t>
        </is>
      </c>
      <c r="B251" s="40" t="inlineStr">
        <is>
          <t>Outras</t>
        </is>
      </c>
      <c r="D251" s="67" t="inlineStr">
        <is>
          <t>Renata Francisco Becker</t>
        </is>
      </c>
      <c r="E251" s="62" t="n">
        <v>45866</v>
      </c>
      <c r="F251" s="67" t="inlineStr">
        <is>
          <t>Vara da Família</t>
        </is>
      </c>
      <c r="I251" s="67" t="inlineStr">
        <is>
          <t>0902136-51.2014.8.24.0020</t>
        </is>
      </c>
      <c r="J251" s="67" t="inlineStr">
        <is>
          <t>Prazo</t>
        </is>
      </c>
      <c r="K251" s="62" t="n">
        <v>46041</v>
      </c>
      <c r="L251" s="67" t="inlineStr">
        <is>
          <t>Pedro Victor</t>
        </is>
      </c>
      <c r="M251" s="40" t="inlineStr">
        <is>
          <t>Cumprido</t>
        </is>
      </c>
      <c r="N251" s="62" t="n">
        <v>46041</v>
      </c>
      <c r="O251" s="67" t="inlineStr">
        <is>
          <t>Movimentação no processo</t>
        </is>
      </c>
    </row>
    <row r="252">
      <c r="A252" s="40" t="inlineStr">
        <is>
          <t>5001601-94.2023.8.24.0166</t>
        </is>
      </c>
      <c r="B252" s="40" t="inlineStr">
        <is>
          <t>Outras</t>
        </is>
      </c>
      <c r="D252" s="67" t="inlineStr">
        <is>
          <t>Renata Francisco Becker</t>
        </is>
      </c>
      <c r="E252" s="62" t="n">
        <v>45776</v>
      </c>
      <c r="F252" s="67" t="inlineStr">
        <is>
          <t>Juizo da Vara Única</t>
        </is>
      </c>
      <c r="I252" s="67" t="inlineStr"/>
      <c r="J252" s="67" t="inlineStr">
        <is>
          <t>Prazo</t>
        </is>
      </c>
      <c r="K252" s="62" t="n">
        <v>46041</v>
      </c>
      <c r="L252" s="67" t="inlineStr">
        <is>
          <t>Julia</t>
        </is>
      </c>
      <c r="M252" s="40" t="inlineStr">
        <is>
          <t>Cumprido</t>
        </is>
      </c>
      <c r="N252" s="62" t="n">
        <v>46041</v>
      </c>
      <c r="O252" s="67" t="inlineStr">
        <is>
          <t>Notificação Extrajudicial - HF x TA LOKA</t>
        </is>
      </c>
    </row>
    <row r="253">
      <c r="A253" s="40" t="inlineStr">
        <is>
          <t>5002403-07.2025.8.24.0010</t>
        </is>
      </c>
      <c r="B253" s="40" t="inlineStr">
        <is>
          <t>Outras</t>
        </is>
      </c>
      <c r="D253" s="67" t="inlineStr">
        <is>
          <t>Renata Francisco Becker</t>
        </is>
      </c>
      <c r="E253" s="62" t="n">
        <v>45772</v>
      </c>
      <c r="F253" s="67" t="inlineStr">
        <is>
          <t>1° vara civel</t>
        </is>
      </c>
      <c r="I253" s="67" t="inlineStr">
        <is>
          <t>5007675-95.2020.4.04.7204</t>
        </is>
      </c>
      <c r="J253" s="67" t="inlineStr">
        <is>
          <t>Prazo</t>
        </is>
      </c>
      <c r="K253" s="62" t="n">
        <v>46041</v>
      </c>
      <c r="L253" s="67" t="inlineStr">
        <is>
          <t>Jessica</t>
        </is>
      </c>
      <c r="M253" s="40" t="inlineStr">
        <is>
          <t>Cumprido</t>
        </is>
      </c>
      <c r="N253" s="62" t="n">
        <v>46041</v>
      </c>
      <c r="O253" s="67" t="inlineStr">
        <is>
          <t xml:space="preserve">Prazo </t>
        </is>
      </c>
    </row>
    <row r="254">
      <c r="A254" s="40" t="inlineStr">
        <is>
          <t>5011111-73.2026.4.04.7100</t>
        </is>
      </c>
      <c r="B254" s="40" t="inlineStr">
        <is>
          <t>Outras</t>
        </is>
      </c>
      <c r="D254" s="67" t="inlineStr">
        <is>
          <t>Marelize Controladoria</t>
        </is>
      </c>
      <c r="E254" s="62" t="n">
        <v>46086</v>
      </c>
      <c r="F254" s="67" t="inlineStr">
        <is>
          <t>Juízo Federal da 1ª VF de Santa Cruz do Sul</t>
        </is>
      </c>
      <c r="I254" s="67" t="inlineStr">
        <is>
          <t>50201478220258240020</t>
        </is>
      </c>
      <c r="J254" s="67" t="inlineStr">
        <is>
          <t>Prazo</t>
        </is>
      </c>
      <c r="K254" s="62" t="n">
        <v>46041</v>
      </c>
      <c r="L254" s="67" t="inlineStr">
        <is>
          <t xml:space="preserve">Alexia </t>
        </is>
      </c>
      <c r="M254" s="40" t="inlineStr">
        <is>
          <t>Cumprido</t>
        </is>
      </c>
      <c r="N254" s="62" t="n">
        <v>46041</v>
      </c>
      <c r="O254" s="67" t="inlineStr">
        <is>
          <t>Prazo (cliente esqueceu de pagar o boleto)</t>
        </is>
      </c>
    </row>
    <row r="255">
      <c r="A255" s="40" t="inlineStr">
        <is>
          <t>50380204920254040000</t>
        </is>
      </c>
      <c r="B255" s="40" t="inlineStr">
        <is>
          <t>Outras</t>
        </is>
      </c>
      <c r="D255" s="67" t="inlineStr">
        <is>
          <t>Jessica</t>
        </is>
      </c>
      <c r="E255" s="62" t="n">
        <v>45987</v>
      </c>
      <c r="F255" s="67" t="inlineStr"/>
      <c r="I255" s="67" t="inlineStr">
        <is>
          <t>50235352720248240020</t>
        </is>
      </c>
      <c r="J255" s="67" t="inlineStr">
        <is>
          <t>Prazo</t>
        </is>
      </c>
      <c r="K255" s="62" t="n">
        <v>46041</v>
      </c>
      <c r="L255" s="67" t="inlineStr">
        <is>
          <t>Julia</t>
        </is>
      </c>
      <c r="M255" s="40" t="inlineStr">
        <is>
          <t>Cumprido</t>
        </is>
      </c>
      <c r="N255" s="62" t="n">
        <v>46041</v>
      </c>
      <c r="O255" s="67" t="inlineStr">
        <is>
          <t>PRAZO PARA MANIFESTAÇÃO DO LAUDO DE INSTALAÇÃO ELETRICA, EVENTO 168</t>
        </is>
      </c>
    </row>
    <row r="256">
      <c r="A256" s="40" t="inlineStr">
        <is>
          <t>50038839420244047204</t>
        </is>
      </c>
      <c r="B256" s="40" t="inlineStr">
        <is>
          <t>Outras</t>
        </is>
      </c>
      <c r="D256" s="67" t="inlineStr">
        <is>
          <t>Renata Francisco Becker</t>
        </is>
      </c>
      <c r="E256" s="62" t="n">
        <v>45600</v>
      </c>
      <c r="F256" s="67" t="inlineStr"/>
      <c r="I256" s="67" t="inlineStr">
        <is>
          <t>0000815-81.2025.5.12.0027</t>
        </is>
      </c>
      <c r="J256" s="67" t="inlineStr">
        <is>
          <t>Tarefa</t>
        </is>
      </c>
      <c r="K256" s="62" t="n">
        <v>46041</v>
      </c>
      <c r="L256" s="67" t="inlineStr">
        <is>
          <t>Pedro Victor</t>
        </is>
      </c>
      <c r="M256" s="40" t="inlineStr">
        <is>
          <t>Cumprido</t>
        </is>
      </c>
      <c r="N256" s="62" t="n">
        <v>46041</v>
      </c>
      <c r="O256" s="67" t="inlineStr">
        <is>
          <t>!!VERIFICAR!! SEM PRAZO 
Juntar CCT das pedreiras, pedindo a aplicação do principio
 ds verdade real, como as atividades da reclamada e do reclamante se desenvolvem em pedreiras, e que somente agora, em consulta aos sindicatos se identificou um erro na presentacao sindical</t>
        </is>
      </c>
    </row>
    <row r="257">
      <c r="A257" s="40" t="inlineStr">
        <is>
          <t>5000308-13.2026.8.24.0028</t>
        </is>
      </c>
      <c r="B257" s="40" t="inlineStr">
        <is>
          <t>Outras</t>
        </is>
      </c>
      <c r="D257" s="67" t="inlineStr">
        <is>
          <t>Marelize Controladoria</t>
        </is>
      </c>
      <c r="E257" s="62" t="n">
        <v>46099</v>
      </c>
      <c r="F257" s="67" t="inlineStr">
        <is>
          <t>Juízo da 1ª Vara Cível da Comarca de Içara</t>
        </is>
      </c>
      <c r="I257" s="67" t="inlineStr">
        <is>
          <t>5007675-95.2020.4.04.7204</t>
        </is>
      </c>
      <c r="J257" s="67" t="inlineStr">
        <is>
          <t>Tarefa</t>
        </is>
      </c>
      <c r="K257" s="62" t="n">
        <v>46041</v>
      </c>
      <c r="L257" s="67" t="inlineStr">
        <is>
          <t>Jessica</t>
        </is>
      </c>
      <c r="M257" s="40" t="inlineStr">
        <is>
          <t>Cumprido</t>
        </is>
      </c>
      <c r="N257" s="62" t="n">
        <v>46041</v>
      </c>
      <c r="O257" s="67" t="inlineStr">
        <is>
          <t>Elaboração</t>
        </is>
      </c>
    </row>
    <row r="258">
      <c r="A258" s="40" t="n"/>
      <c r="B258" s="40" t="inlineStr">
        <is>
          <t>Outras</t>
        </is>
      </c>
      <c r="D258" s="67" t="inlineStr">
        <is>
          <t>Pedro Victor</t>
        </is>
      </c>
      <c r="E258" s="62" t="n">
        <v>45492</v>
      </c>
      <c r="I258" s="67" t="inlineStr">
        <is>
          <t>5007007-54.2025.8.24.0028</t>
        </is>
      </c>
      <c r="J258" s="67" t="inlineStr">
        <is>
          <t>Tarefa</t>
        </is>
      </c>
      <c r="K258" s="62" t="n">
        <v>46041</v>
      </c>
      <c r="L258" s="67" t="inlineStr">
        <is>
          <t>Renata Francisco Becker</t>
        </is>
      </c>
      <c r="M258" s="40" t="inlineStr">
        <is>
          <t>Cumprido</t>
        </is>
      </c>
      <c r="N258" s="62" t="n">
        <v>46041</v>
      </c>
      <c r="O258" s="67" t="inlineStr">
        <is>
          <t>Elaboração</t>
        </is>
      </c>
    </row>
    <row r="259">
      <c r="A259" s="40" t="n"/>
      <c r="B259" s="40" t="inlineStr">
        <is>
          <t>Outras</t>
        </is>
      </c>
      <c r="D259" s="67" t="inlineStr">
        <is>
          <t>Marelize Controladoria</t>
        </is>
      </c>
      <c r="E259" s="62" t="n">
        <v>46092</v>
      </c>
      <c r="I259" s="67" t="inlineStr">
        <is>
          <t>50235352720248240020</t>
        </is>
      </c>
      <c r="J259" s="67" t="inlineStr">
        <is>
          <t>Tarefa</t>
        </is>
      </c>
      <c r="K259" s="62" t="n">
        <v>46041</v>
      </c>
      <c r="L259" s="67" t="inlineStr">
        <is>
          <t>Julia</t>
        </is>
      </c>
      <c r="M259" s="40" t="inlineStr">
        <is>
          <t>Cumprido</t>
        </is>
      </c>
      <c r="N259" s="62" t="n">
        <v>46041</v>
      </c>
      <c r="O259" s="67" t="inlineStr">
        <is>
          <t>Elaboração</t>
        </is>
      </c>
    </row>
    <row r="260">
      <c r="A260" s="40" t="inlineStr">
        <is>
          <t>4002678-64.2025.8.26.0576</t>
        </is>
      </c>
      <c r="B260" s="40" t="inlineStr">
        <is>
          <t>Outras</t>
        </is>
      </c>
      <c r="D260" s="67" t="inlineStr">
        <is>
          <t>Renata Francisco Becker</t>
        </is>
      </c>
      <c r="E260" s="62" t="n">
        <v>45847</v>
      </c>
      <c r="F260" s="67" t="inlineStr">
        <is>
          <t>2° Vara</t>
        </is>
      </c>
      <c r="I260" s="67" t="inlineStr"/>
      <c r="J260" s="67" t="inlineStr">
        <is>
          <t>Tarefa</t>
        </is>
      </c>
      <c r="K260" s="62" t="n">
        <v>46041</v>
      </c>
      <c r="L260" s="67" t="inlineStr">
        <is>
          <t>Julia</t>
        </is>
      </c>
      <c r="M260" s="40" t="inlineStr">
        <is>
          <t>Cumprido</t>
        </is>
      </c>
      <c r="N260" s="62" t="n">
        <v>46041</v>
      </c>
      <c r="O260" s="67" t="inlineStr">
        <is>
          <t>Elaboração</t>
        </is>
      </c>
    </row>
    <row r="261">
      <c r="A261" s="40" t="inlineStr">
        <is>
          <t>50142582320254047204</t>
        </is>
      </c>
      <c r="B261" s="40" t="inlineStr">
        <is>
          <t>Outras</t>
        </is>
      </c>
      <c r="D261" s="67" t="inlineStr">
        <is>
          <t>Jessica</t>
        </is>
      </c>
      <c r="E261" s="62" t="n">
        <v>45996</v>
      </c>
      <c r="F261" s="67" t="inlineStr"/>
      <c r="I261" s="67" t="inlineStr">
        <is>
          <t>50138404920248240020</t>
        </is>
      </c>
      <c r="J261" s="67" t="inlineStr">
        <is>
          <t>Tarefa</t>
        </is>
      </c>
      <c r="K261" s="62" t="n">
        <v>46041</v>
      </c>
      <c r="L261" s="67" t="inlineStr">
        <is>
          <t>Julia</t>
        </is>
      </c>
      <c r="M261" s="40" t="inlineStr">
        <is>
          <t>Cumprido</t>
        </is>
      </c>
      <c r="N261" s="62" t="n">
        <v>46041</v>
      </c>
      <c r="O261" s="67" t="inlineStr">
        <is>
          <t>Protocolo</t>
        </is>
      </c>
    </row>
    <row r="262">
      <c r="A262" s="40" t="inlineStr">
        <is>
          <t>0000223-37.2025.5.12.0027</t>
        </is>
      </c>
      <c r="B262" s="40" t="inlineStr">
        <is>
          <t>Outras</t>
        </is>
      </c>
      <c r="D262" s="67" t="inlineStr">
        <is>
          <t>Pedro Victor</t>
        </is>
      </c>
      <c r="E262" s="62" t="n">
        <v>45702</v>
      </c>
      <c r="F262" s="67" t="inlineStr">
        <is>
          <t>2ª VARA DO TRABALHO DE CRICIÚMA</t>
        </is>
      </c>
      <c r="I262" s="67" t="inlineStr">
        <is>
          <t>5006782-58.2025.8.24.0020</t>
        </is>
      </c>
      <c r="J262" s="67" t="inlineStr">
        <is>
          <t>Tarefa</t>
        </is>
      </c>
      <c r="K262" s="62" t="n">
        <v>46041</v>
      </c>
      <c r="L262" s="67" t="inlineStr">
        <is>
          <t xml:space="preserve">Alexia </t>
        </is>
      </c>
      <c r="M262" s="40" t="inlineStr">
        <is>
          <t>Cumprido</t>
        </is>
      </c>
      <c r="N262" s="62" t="n">
        <v>46041</v>
      </c>
      <c r="O262" s="67" t="inlineStr">
        <is>
          <t>Protocolo</t>
        </is>
      </c>
    </row>
    <row r="263">
      <c r="A263" s="40" t="n"/>
      <c r="B263" s="40" t="inlineStr">
        <is>
          <t>Outras</t>
        </is>
      </c>
      <c r="D263" s="67" t="inlineStr">
        <is>
          <t>Marelize Controladoria</t>
        </is>
      </c>
      <c r="E263" s="62" t="n">
        <v>46065</v>
      </c>
      <c r="I263" s="67" t="inlineStr">
        <is>
          <t>50235352720248240020</t>
        </is>
      </c>
      <c r="J263" s="67" t="inlineStr">
        <is>
          <t>Tarefa</t>
        </is>
      </c>
      <c r="K263" s="62" t="n">
        <v>46041</v>
      </c>
      <c r="L263" s="67" t="inlineStr">
        <is>
          <t>Julia</t>
        </is>
      </c>
      <c r="M263" s="40" t="inlineStr">
        <is>
          <t>Cumprido</t>
        </is>
      </c>
      <c r="N263" s="62" t="n">
        <v>46041</v>
      </c>
      <c r="O263" s="67" t="inlineStr">
        <is>
          <t>Protocolo</t>
        </is>
      </c>
    </row>
    <row r="264">
      <c r="A264" s="40" t="inlineStr">
        <is>
          <t>5002869-18.2025.8.24.0166</t>
        </is>
      </c>
      <c r="B264" s="40" t="inlineStr">
        <is>
          <t>Outras</t>
        </is>
      </c>
      <c r="D264" s="67" t="inlineStr">
        <is>
          <t>Renata Francisco Becker</t>
        </is>
      </c>
      <c r="E264" s="62" t="n">
        <v>45992</v>
      </c>
      <c r="F264" s="67" t="inlineStr"/>
      <c r="I264" s="67" t="inlineStr">
        <is>
          <t>50138404920248240020</t>
        </is>
      </c>
      <c r="J264" s="67" t="inlineStr">
        <is>
          <t>Tarefa</t>
        </is>
      </c>
      <c r="K264" s="62" t="n">
        <v>46041</v>
      </c>
      <c r="L264" s="67" t="inlineStr">
        <is>
          <t>Renata Francisco Becker</t>
        </is>
      </c>
      <c r="M264" s="40" t="inlineStr">
        <is>
          <t>Cumprido</t>
        </is>
      </c>
      <c r="N264" s="62" t="n">
        <v>46041</v>
      </c>
      <c r="O264" s="67" t="inlineStr">
        <is>
          <t>Revisão</t>
        </is>
      </c>
    </row>
    <row r="265">
      <c r="A265" s="40" t="n"/>
      <c r="B265" s="40" t="inlineStr">
        <is>
          <t>Outras</t>
        </is>
      </c>
      <c r="D265" s="67" t="inlineStr">
        <is>
          <t>Marelize Controladoria</t>
        </is>
      </c>
      <c r="E265" s="62" t="n">
        <v>46066</v>
      </c>
      <c r="I265" s="67" t="inlineStr">
        <is>
          <t>50138404920248240020</t>
        </is>
      </c>
      <c r="J265" s="67" t="inlineStr">
        <is>
          <t>Tarefa</t>
        </is>
      </c>
      <c r="K265" s="62" t="n">
        <v>46041</v>
      </c>
      <c r="L265" s="67" t="inlineStr">
        <is>
          <t>Julia</t>
        </is>
      </c>
      <c r="M265" s="40" t="inlineStr">
        <is>
          <t>Cumprido</t>
        </is>
      </c>
      <c r="N265" s="62" t="n">
        <v>46041</v>
      </c>
      <c r="O265" s="67" t="inlineStr">
        <is>
          <t>Revisão</t>
        </is>
      </c>
    </row>
    <row r="266">
      <c r="A266" s="40" t="inlineStr">
        <is>
          <t>50201478220258240020</t>
        </is>
      </c>
      <c r="B266" s="40" t="inlineStr">
        <is>
          <t>Outras</t>
        </is>
      </c>
      <c r="D266" s="67" t="inlineStr">
        <is>
          <t>Pedro Victor</t>
        </is>
      </c>
      <c r="E266" s="62" t="n">
        <v>45971</v>
      </c>
      <c r="F266" s="67" t="inlineStr">
        <is>
          <t>Juízo do Juizado Especial Cível da Comarca de Criciúma</t>
        </is>
      </c>
      <c r="I266" s="67" t="inlineStr">
        <is>
          <t>50235352720248240020</t>
        </is>
      </c>
      <c r="J266" s="67" t="inlineStr">
        <is>
          <t>Tarefa</t>
        </is>
      </c>
      <c r="K266" s="62" t="n">
        <v>46041</v>
      </c>
      <c r="L266" s="67" t="inlineStr">
        <is>
          <t>Renata Francisco Becker</t>
        </is>
      </c>
      <c r="M266" s="40" t="inlineStr">
        <is>
          <t>Cumprido</t>
        </is>
      </c>
      <c r="N266" s="62" t="n">
        <v>46041</v>
      </c>
      <c r="O266" s="67" t="inlineStr">
        <is>
          <t>Revisão</t>
        </is>
      </c>
    </row>
    <row r="267">
      <c r="A267" s="40" t="inlineStr">
        <is>
          <t>5065946-13.2023.8.24.0023</t>
        </is>
      </c>
      <c r="B267" s="40" t="inlineStr">
        <is>
          <t>Outras</t>
        </is>
      </c>
      <c r="D267" s="67" t="inlineStr">
        <is>
          <t>Renata Francisco Becker</t>
        </is>
      </c>
      <c r="E267" s="62" t="n">
        <v>45412</v>
      </c>
      <c r="F267" s="67" t="inlineStr">
        <is>
          <t>3º Juízo da Unidade Regional de Execuções Fiscais Municipais da Comarca da Capital</t>
        </is>
      </c>
      <c r="I267" s="67" t="inlineStr">
        <is>
          <t>50235352720248240020</t>
        </is>
      </c>
      <c r="J267" s="67" t="inlineStr">
        <is>
          <t>Tarefa</t>
        </is>
      </c>
      <c r="K267" s="62" t="n">
        <v>46041</v>
      </c>
      <c r="L267" s="67" t="inlineStr">
        <is>
          <t>Julia</t>
        </is>
      </c>
      <c r="M267" s="40" t="inlineStr">
        <is>
          <t>Cumprido</t>
        </is>
      </c>
      <c r="N267" s="62" t="n">
        <v>46041</v>
      </c>
      <c r="O267" s="67" t="inlineStr">
        <is>
          <t>Revisão</t>
        </is>
      </c>
    </row>
    <row r="268">
      <c r="A268" s="40" t="inlineStr">
        <is>
          <t>5002249-92.2026.4.04.7204</t>
        </is>
      </c>
      <c r="B268" s="40" t="inlineStr">
        <is>
          <t>Outras</t>
        </is>
      </c>
      <c r="D268" s="67" t="inlineStr">
        <is>
          <t>Marelize Controladoria</t>
        </is>
      </c>
      <c r="E268" s="62" t="n">
        <v>46090</v>
      </c>
      <c r="F268" s="67" t="inlineStr">
        <is>
          <t>Juízo Federal da 4ª VF de Criciúma</t>
        </is>
      </c>
      <c r="I268" s="67" t="inlineStr">
        <is>
          <t>48051.003931/2025-57</t>
        </is>
      </c>
      <c r="J268" s="67" t="inlineStr">
        <is>
          <t>Tarefa</t>
        </is>
      </c>
      <c r="K268" s="62" t="n">
        <v>46041</v>
      </c>
      <c r="L268" s="67" t="inlineStr">
        <is>
          <t>Pedro Victor</t>
        </is>
      </c>
      <c r="M268" s="40" t="inlineStr">
        <is>
          <t>Cumprido</t>
        </is>
      </c>
      <c r="N268" s="62" t="n">
        <v>46041</v>
      </c>
      <c r="O268" s="67" t="inlineStr">
        <is>
          <t xml:space="preserve">Agendar reunião para tratar da possibilidade de compra do direito meninerwrio e para tratar do San Piero </t>
        </is>
      </c>
    </row>
    <row r="269">
      <c r="A269" s="40" t="inlineStr">
        <is>
          <t>50186057720258240004</t>
        </is>
      </c>
      <c r="B269" s="40" t="inlineStr">
        <is>
          <t>Outras</t>
        </is>
      </c>
      <c r="D269" s="67" t="inlineStr">
        <is>
          <t>Marelize Controladoria</t>
        </is>
      </c>
      <c r="E269" s="62" t="n">
        <v>46079</v>
      </c>
      <c r="F269" s="67" t="inlineStr">
        <is>
          <t>Juízo da 3ª Vara Cível da Comarca de Araranguá</t>
        </is>
      </c>
      <c r="I269" s="67" t="inlineStr"/>
      <c r="J269" s="67" t="inlineStr">
        <is>
          <t>Tarefa</t>
        </is>
      </c>
      <c r="K269" s="62" t="n">
        <v>46041</v>
      </c>
      <c r="L269" s="67" t="inlineStr">
        <is>
          <t>Marelize Controladoria</t>
        </is>
      </c>
      <c r="M269" s="40" t="inlineStr">
        <is>
          <t>Cumprido</t>
        </is>
      </c>
      <c r="N269" s="62" t="n">
        <v>46041</v>
      </c>
      <c r="O269" s="67" t="inlineStr">
        <is>
          <t>Analisar e distribuir nas 4 publicações...</t>
        </is>
      </c>
    </row>
    <row r="270">
      <c r="A270" s="40" t="inlineStr">
        <is>
          <t>50031039820258240004</t>
        </is>
      </c>
      <c r="B270" s="40" t="inlineStr">
        <is>
          <t>Outras</t>
        </is>
      </c>
      <c r="D270" s="67" t="inlineStr">
        <is>
          <t>Renata Francisco Becker</t>
        </is>
      </c>
      <c r="E270" s="62" t="n">
        <v>45741</v>
      </c>
      <c r="F270" s="67" t="inlineStr">
        <is>
          <t>2° vara</t>
        </is>
      </c>
      <c r="I270" s="67" t="inlineStr"/>
      <c r="J270" s="67" t="inlineStr">
        <is>
          <t>Tarefa</t>
        </is>
      </c>
      <c r="K270" s="62" t="n">
        <v>46041</v>
      </c>
      <c r="L270" s="67" t="inlineStr">
        <is>
          <t>Jessica</t>
        </is>
      </c>
      <c r="M270" s="40" t="inlineStr">
        <is>
          <t>Cumprido</t>
        </is>
      </c>
      <c r="N270" s="62" t="n">
        <v>46041</v>
      </c>
      <c r="O270" s="67" t="inlineStr">
        <is>
          <t xml:space="preserve">Analise de caso e processo adm para correção de exigência de emissão e NF
</t>
        </is>
      </c>
    </row>
    <row r="271">
      <c r="A271" s="40" t="inlineStr">
        <is>
          <t>50298608620228240020</t>
        </is>
      </c>
      <c r="B271" s="40" t="inlineStr">
        <is>
          <t>Outras</t>
        </is>
      </c>
      <c r="D271" s="67" t="inlineStr">
        <is>
          <t>Renata Francisco Becker</t>
        </is>
      </c>
      <c r="E271" s="62" t="n">
        <v>45716</v>
      </c>
      <c r="F271" s="67" t="inlineStr"/>
      <c r="I271" s="67" t="inlineStr">
        <is>
          <t>0001647-89.2025.5.12.0003</t>
        </is>
      </c>
      <c r="J271" s="67" t="inlineStr">
        <is>
          <t>Tarefa</t>
        </is>
      </c>
      <c r="K271" s="62" t="n">
        <v>46041</v>
      </c>
      <c r="L271" s="67" t="inlineStr">
        <is>
          <t>Marelize Controladoria</t>
        </is>
      </c>
      <c r="M271" s="40" t="inlineStr">
        <is>
          <t>Cumprido</t>
        </is>
      </c>
      <c r="N271" s="62" t="n">
        <v>46041</v>
      </c>
      <c r="O271" s="67" t="inlineStr">
        <is>
          <t>Avisar cliente da audiência.</t>
        </is>
      </c>
    </row>
    <row r="272">
      <c r="A272" s="40" t="inlineStr">
        <is>
          <t>5006249-30.2026.8.24.0064</t>
        </is>
      </c>
      <c r="B272" s="40" t="inlineStr">
        <is>
          <t>Outras</t>
        </is>
      </c>
      <c r="D272" s="67" t="inlineStr">
        <is>
          <t>Marelize Controladoria</t>
        </is>
      </c>
      <c r="E272" s="62" t="n">
        <v>46085</v>
      </c>
      <c r="F272" s="67" t="inlineStr">
        <is>
          <t>Juízo da 3ª Vara Cível da Comarca de São José</t>
        </is>
      </c>
      <c r="I272" s="67" t="inlineStr"/>
      <c r="J272" s="67" t="inlineStr">
        <is>
          <t>Tarefa</t>
        </is>
      </c>
      <c r="K272" s="62" t="n">
        <v>46041</v>
      </c>
      <c r="L272" s="67" t="inlineStr">
        <is>
          <t>Jessica</t>
        </is>
      </c>
      <c r="M272" s="40" t="inlineStr">
        <is>
          <t>Cumprido</t>
        </is>
      </c>
      <c r="N272" s="62" t="n">
        <v>46041</v>
      </c>
      <c r="O272" s="67" t="inlineStr">
        <is>
          <t>Elaboração de clausula tributária</t>
        </is>
      </c>
    </row>
    <row r="273">
      <c r="A273" s="40" t="inlineStr">
        <is>
          <t>5001498-41.2017.8.24.0023</t>
        </is>
      </c>
      <c r="B273" s="40" t="inlineStr">
        <is>
          <t>Outras</t>
        </is>
      </c>
      <c r="D273" s="67" t="inlineStr">
        <is>
          <t>Renata Francisco Becker</t>
        </is>
      </c>
      <c r="E273" s="62" t="n">
        <v>44781</v>
      </c>
      <c r="F273" s="67" t="inlineStr">
        <is>
          <t>Juízo da Vara de Execuções contra a Fazenda Pública e Precatórios da Comarca da Capital</t>
        </is>
      </c>
      <c r="I273" s="67" t="inlineStr"/>
      <c r="J273" s="67" t="inlineStr">
        <is>
          <t>Tarefa</t>
        </is>
      </c>
      <c r="K273" s="62" t="n">
        <v>46041</v>
      </c>
      <c r="L273" s="67" t="inlineStr">
        <is>
          <t>Julia</t>
        </is>
      </c>
      <c r="M273" s="40" t="inlineStr">
        <is>
          <t>Cumprido</t>
        </is>
      </c>
      <c r="N273" s="62" t="n">
        <v>46041</v>
      </c>
      <c r="O273" s="67" t="inlineStr">
        <is>
          <t>Finalização</t>
        </is>
      </c>
    </row>
    <row r="274">
      <c r="A274" s="40" t="inlineStr">
        <is>
          <t>5003880-42.2024.4.04.7204</t>
        </is>
      </c>
      <c r="B274" s="40" t="inlineStr">
        <is>
          <t>Outras</t>
        </is>
      </c>
      <c r="D274" s="67" t="inlineStr">
        <is>
          <t>Renata Francisco Becker</t>
        </is>
      </c>
      <c r="E274" s="62" t="n">
        <v>45520</v>
      </c>
      <c r="F274" s="67" t="inlineStr"/>
      <c r="I274" s="67" t="inlineStr"/>
      <c r="J274" s="67" t="inlineStr">
        <is>
          <t>Tarefa</t>
        </is>
      </c>
      <c r="K274" s="62" t="n">
        <v>46041</v>
      </c>
      <c r="L274" s="67" t="inlineStr">
        <is>
          <t>Julia</t>
        </is>
      </c>
      <c r="M274" s="40" t="inlineStr">
        <is>
          <t>Cumprido</t>
        </is>
      </c>
      <c r="N274" s="62" t="n">
        <v>46041</v>
      </c>
      <c r="O274" s="67" t="inlineStr">
        <is>
          <t>Possibilidade de acordo</t>
        </is>
      </c>
    </row>
    <row r="275">
      <c r="A275" s="40" t="inlineStr">
        <is>
          <t>50128814420258240020</t>
        </is>
      </c>
      <c r="B275" s="40" t="inlineStr">
        <is>
          <t>Outras</t>
        </is>
      </c>
      <c r="D275" s="67" t="inlineStr">
        <is>
          <t>Renata Francisco Becker</t>
        </is>
      </c>
      <c r="E275" s="62" t="n">
        <v>45818</v>
      </c>
      <c r="F275" s="67" t="inlineStr">
        <is>
          <t>Juízo da 4ª Vara Cível da Comarca de Criciúma</t>
        </is>
      </c>
      <c r="I275" s="67" t="inlineStr"/>
      <c r="J275" s="67" t="inlineStr">
        <is>
          <t>Tarefa</t>
        </is>
      </c>
      <c r="K275" s="62" t="n">
        <v>46041</v>
      </c>
      <c r="L275" s="67" t="inlineStr">
        <is>
          <t>Julia</t>
        </is>
      </c>
      <c r="M275" s="40" t="inlineStr">
        <is>
          <t>Cumprido</t>
        </is>
      </c>
      <c r="N275" s="62" t="n">
        <v>46041</v>
      </c>
      <c r="O275" s="67" t="inlineStr">
        <is>
          <t xml:space="preserve">Ver descrição do caso para entender, após falar com a funcionaria Damila, para verificar se irão querer que nos façamos a cobrança dela. </t>
        </is>
      </c>
    </row>
    <row r="276">
      <c r="A276" s="40" t="n"/>
      <c r="B276" s="40" t="inlineStr">
        <is>
          <t>Outras</t>
        </is>
      </c>
      <c r="D276" s="67" t="inlineStr">
        <is>
          <t>Marelize Controladoria</t>
        </is>
      </c>
      <c r="E276" s="62" t="n">
        <v>46090</v>
      </c>
      <c r="I276" s="67" t="inlineStr"/>
      <c r="J276" s="67" t="inlineStr">
        <is>
          <t>Evento</t>
        </is>
      </c>
      <c r="K276" s="62" t="n">
        <v>46041</v>
      </c>
      <c r="L276" s="67" t="inlineStr">
        <is>
          <t>Marelize Controladoria</t>
        </is>
      </c>
      <c r="M276" s="40" t="inlineStr">
        <is>
          <t>Cumprido</t>
        </is>
      </c>
      <c r="N276" s="62" t="n">
        <v>46041</v>
      </c>
      <c r="O276" s="67" t="inlineStr">
        <is>
          <t xml:space="preserve">Visita comercial na Zanette Transportes </t>
        </is>
      </c>
    </row>
    <row r="277">
      <c r="A277" s="40" t="inlineStr">
        <is>
          <t>50178649120228240020</t>
        </is>
      </c>
      <c r="B277" s="40" t="inlineStr">
        <is>
          <t>Outras</t>
        </is>
      </c>
      <c r="D277" s="67" t="inlineStr">
        <is>
          <t>Renata Francisco Becker</t>
        </is>
      </c>
      <c r="E277" s="62" t="n">
        <v>44819</v>
      </c>
      <c r="F277" s="67" t="inlineStr"/>
      <c r="I277" s="67" t="inlineStr"/>
      <c r="J277" s="67" t="inlineStr">
        <is>
          <t>Evento</t>
        </is>
      </c>
      <c r="K277" s="62" t="n">
        <v>46041</v>
      </c>
      <c r="L277" s="67" t="inlineStr">
        <is>
          <t>Marelize Controladoria</t>
        </is>
      </c>
      <c r="M277" s="40" t="inlineStr">
        <is>
          <t>Cumprido</t>
        </is>
      </c>
      <c r="N277" s="62" t="n">
        <v>46041</v>
      </c>
      <c r="O277" s="67" t="inlineStr">
        <is>
          <t>Atendimento - Apresentação de Assessoria Ramon Demarch</t>
        </is>
      </c>
    </row>
    <row r="278">
      <c r="A278" s="40" t="inlineStr">
        <is>
          <t>0000362-65.2026.5.12.0055</t>
        </is>
      </c>
      <c r="B278" s="40" t="inlineStr">
        <is>
          <t>Outras</t>
        </is>
      </c>
      <c r="D278" s="67" t="inlineStr">
        <is>
          <t>Marelize Controladoria</t>
        </is>
      </c>
      <c r="E278" s="62" t="n">
        <v>46062</v>
      </c>
      <c r="F278" s="67" t="inlineStr"/>
      <c r="I278" s="67" t="inlineStr"/>
      <c r="J278" s="67" t="inlineStr">
        <is>
          <t>Evento</t>
        </is>
      </c>
      <c r="K278" s="62" t="n">
        <v>46041</v>
      </c>
      <c r="L278" s="67" t="inlineStr">
        <is>
          <t>Jessica</t>
        </is>
      </c>
      <c r="M278" s="40" t="inlineStr">
        <is>
          <t>Cumprido</t>
        </is>
      </c>
      <c r="N278" s="62" t="n">
        <v>46041</v>
      </c>
      <c r="O278" s="67" t="inlineStr">
        <is>
          <t>Reunião Vonsher</t>
        </is>
      </c>
    </row>
    <row r="279">
      <c r="A279" s="40" t="n"/>
      <c r="B279" s="40" t="inlineStr">
        <is>
          <t>Outras</t>
        </is>
      </c>
      <c r="D279" s="67" t="inlineStr">
        <is>
          <t>Luci</t>
        </is>
      </c>
      <c r="E279" s="62" t="n">
        <v>45573</v>
      </c>
      <c r="I279" s="67" t="inlineStr">
        <is>
          <t>5016790-79.2025.4.04.7200</t>
        </is>
      </c>
      <c r="J279" s="67" t="inlineStr">
        <is>
          <t>Prazo</t>
        </is>
      </c>
      <c r="K279" s="62" t="n">
        <v>46042</v>
      </c>
      <c r="L279" s="67" t="inlineStr">
        <is>
          <t>Jessica</t>
        </is>
      </c>
      <c r="M279" s="40" t="inlineStr">
        <is>
          <t>Cumprido</t>
        </is>
      </c>
      <c r="N279" s="62" t="n">
        <v>46042</v>
      </c>
      <c r="O279" s="67" t="inlineStr">
        <is>
          <t>acompanhar</t>
        </is>
      </c>
    </row>
    <row r="280">
      <c r="A280" s="40" t="inlineStr">
        <is>
          <t>5025099-66.2023.8.24.0023</t>
        </is>
      </c>
      <c r="B280" s="40" t="inlineStr">
        <is>
          <t>Outras</t>
        </is>
      </c>
      <c r="D280" s="67" t="inlineStr">
        <is>
          <t>Renata Francisco Becker</t>
        </is>
      </c>
      <c r="E280" s="62" t="n">
        <v>45754</v>
      </c>
      <c r="F280" s="67" t="inlineStr"/>
      <c r="I280" s="67" t="inlineStr"/>
      <c r="J280" s="67" t="inlineStr">
        <is>
          <t>Prazo</t>
        </is>
      </c>
      <c r="K280" s="62" t="n">
        <v>46042</v>
      </c>
      <c r="L280" s="67" t="inlineStr">
        <is>
          <t>Renata Francisco Becker</t>
        </is>
      </c>
      <c r="M280" s="40" t="inlineStr">
        <is>
          <t>Cumprido</t>
        </is>
      </c>
      <c r="N280" s="62" t="n">
        <v>46042</v>
      </c>
      <c r="O280" s="67" t="inlineStr">
        <is>
          <t>Dar retorno sobre o questionamento</t>
        </is>
      </c>
    </row>
    <row r="281">
      <c r="A281" s="40" t="inlineStr">
        <is>
          <t>51288000420248240930</t>
        </is>
      </c>
      <c r="B281" s="40" t="inlineStr">
        <is>
          <t>Outras</t>
        </is>
      </c>
      <c r="D281" s="67" t="inlineStr">
        <is>
          <t>Marelize Controladoria</t>
        </is>
      </c>
      <c r="E281" s="62" t="n">
        <v>46035</v>
      </c>
      <c r="F281" s="67" t="inlineStr">
        <is>
          <t>3º Juízo da Vara Estadual de Direito Bancário</t>
        </is>
      </c>
      <c r="I281" s="67" t="inlineStr">
        <is>
          <t>5005478-34.2024.8.24.0028</t>
        </is>
      </c>
      <c r="J281" s="67" t="inlineStr">
        <is>
          <t>Prazo</t>
        </is>
      </c>
      <c r="K281" s="62" t="n">
        <v>46042</v>
      </c>
      <c r="L281" s="67" t="inlineStr">
        <is>
          <t>Marelize Controladoria</t>
        </is>
      </c>
      <c r="M281" s="40" t="inlineStr">
        <is>
          <t>Cumprido</t>
        </is>
      </c>
      <c r="N281" s="62" t="n">
        <v>46042</v>
      </c>
      <c r="O281" s="67" t="inlineStr">
        <is>
          <t>DISTRIBUIR - aguardar citação</t>
        </is>
      </c>
    </row>
    <row r="282">
      <c r="A282" s="40" t="inlineStr">
        <is>
          <t>5001153-92.2021.8.24.0166</t>
        </is>
      </c>
      <c r="B282" s="40" t="inlineStr">
        <is>
          <t>Outras</t>
        </is>
      </c>
      <c r="D282" s="67" t="inlineStr">
        <is>
          <t>Renata Francisco Becker</t>
        </is>
      </c>
      <c r="E282" s="62" t="n">
        <v>44701</v>
      </c>
      <c r="F282" s="67" t="inlineStr">
        <is>
          <t>Juizo Da Vara Unica Da Comarca De Forquilhinha</t>
        </is>
      </c>
      <c r="I282" s="67" t="inlineStr"/>
      <c r="J282" s="67" t="inlineStr">
        <is>
          <t>Prazo</t>
        </is>
      </c>
      <c r="K282" s="62" t="n">
        <v>46042</v>
      </c>
      <c r="L282" s="67" t="inlineStr">
        <is>
          <t>Julia</t>
        </is>
      </c>
      <c r="M282" s="40" t="inlineStr">
        <is>
          <t>Cumprido</t>
        </is>
      </c>
      <c r="N282" s="62" t="n">
        <v>46042</v>
      </c>
      <c r="O282" s="67" t="inlineStr">
        <is>
          <t>Elaborar contrato de locação</t>
        </is>
      </c>
    </row>
    <row r="283">
      <c r="A283" s="40" t="inlineStr">
        <is>
          <t>5000192-49.2024.8.24.0166</t>
        </is>
      </c>
      <c r="B283" s="40" t="inlineStr">
        <is>
          <t>Outras</t>
        </is>
      </c>
      <c r="D283" s="67" t="inlineStr">
        <is>
          <t>Renata Francisco Becker</t>
        </is>
      </c>
      <c r="E283" s="62" t="n">
        <v>45321</v>
      </c>
      <c r="F283" s="67" t="inlineStr">
        <is>
          <t>Juízo da Vara Única da Comarca de Forquilhinha</t>
        </is>
      </c>
      <c r="I283" s="67" t="inlineStr"/>
      <c r="J283" s="67" t="inlineStr">
        <is>
          <t>Prazo</t>
        </is>
      </c>
      <c r="K283" s="62" t="n">
        <v>46042</v>
      </c>
      <c r="L283" s="67" t="inlineStr">
        <is>
          <t>Julia</t>
        </is>
      </c>
      <c r="M283" s="40" t="inlineStr">
        <is>
          <t>Cumprido</t>
        </is>
      </c>
      <c r="N283" s="62" t="n">
        <v>46042</v>
      </c>
      <c r="O283" s="67" t="inlineStr">
        <is>
          <t>Elaboração de acordo</t>
        </is>
      </c>
    </row>
    <row r="284">
      <c r="A284" s="40" t="inlineStr">
        <is>
          <t>5000887-73.2024.8.24.0175</t>
        </is>
      </c>
      <c r="B284" s="40" t="inlineStr">
        <is>
          <t>Outras</t>
        </is>
      </c>
      <c r="D284" s="67" t="inlineStr">
        <is>
          <t>Renata Francisco Becker</t>
        </is>
      </c>
      <c r="E284" s="62" t="n">
        <v>45744</v>
      </c>
      <c r="F284" s="67" t="inlineStr">
        <is>
          <t>Juízo da Vara Única da Comarca de Meleiro</t>
        </is>
      </c>
      <c r="I284" s="67" t="inlineStr">
        <is>
          <t>5009605-05.2025.8.24.0020</t>
        </is>
      </c>
      <c r="J284" s="67" t="inlineStr">
        <is>
          <t>Prazo</t>
        </is>
      </c>
      <c r="K284" s="62" t="n">
        <v>46042</v>
      </c>
      <c r="L284" s="67" t="inlineStr">
        <is>
          <t>Julia</t>
        </is>
      </c>
      <c r="M284" s="40" t="inlineStr">
        <is>
          <t>Cumprido</t>
        </is>
      </c>
      <c r="N284" s="62" t="n">
        <v>46042</v>
      </c>
      <c r="O284" s="67" t="inlineStr">
        <is>
          <t>Fazer as intimações das nossas testemunhas, e comprovar a juntada das intimaçãoes nos autos.</t>
        </is>
      </c>
    </row>
    <row r="285">
      <c r="A285" s="40" t="inlineStr">
        <is>
          <t>50000591320248240940</t>
        </is>
      </c>
      <c r="B285" s="40" t="inlineStr">
        <is>
          <t>Outras</t>
        </is>
      </c>
      <c r="D285" s="67" t="inlineStr">
        <is>
          <t>Pedro Victor</t>
        </is>
      </c>
      <c r="E285" s="62" t="n">
        <v>45693</v>
      </c>
      <c r="F285" s="67" t="inlineStr">
        <is>
          <t>1º Juízo da Vara de Execução Fiscal Estadual</t>
        </is>
      </c>
      <c r="I285" s="67" t="inlineStr">
        <is>
          <t>50099444620248240004</t>
        </is>
      </c>
      <c r="J285" s="67" t="inlineStr">
        <is>
          <t>Prazo</t>
        </is>
      </c>
      <c r="K285" s="62" t="n">
        <v>46042</v>
      </c>
      <c r="L285" s="67" t="inlineStr">
        <is>
          <t xml:space="preserve">Alexia </t>
        </is>
      </c>
      <c r="M285" s="40" t="inlineStr">
        <is>
          <t>Cumprido</t>
        </is>
      </c>
      <c r="N285" s="62" t="n">
        <v>46042</v>
      </c>
      <c r="O285" s="67" t="inlineStr">
        <is>
          <t xml:space="preserve">Prazo </t>
        </is>
      </c>
    </row>
    <row r="286">
      <c r="A286" s="40" t="inlineStr">
        <is>
          <t>50000244920268240175</t>
        </is>
      </c>
      <c r="B286" s="40" t="inlineStr">
        <is>
          <t>Outras</t>
        </is>
      </c>
      <c r="D286" s="67" t="inlineStr">
        <is>
          <t>Marelize Controladoria</t>
        </is>
      </c>
      <c r="E286" s="62" t="n">
        <v>46072</v>
      </c>
      <c r="F286" s="67" t="inlineStr">
        <is>
          <t>Juízo da Vara Única da Comarca de Meleiro</t>
        </is>
      </c>
      <c r="I286" s="67" t="inlineStr">
        <is>
          <t>5003206-41.2024.8.24.0166</t>
        </is>
      </c>
      <c r="J286" s="67" t="inlineStr">
        <is>
          <t>Prazo</t>
        </is>
      </c>
      <c r="K286" s="62" t="n">
        <v>46042</v>
      </c>
      <c r="L286" s="67" t="inlineStr">
        <is>
          <t>Jessica</t>
        </is>
      </c>
      <c r="M286" s="40" t="inlineStr">
        <is>
          <t>Cumprido</t>
        </is>
      </c>
      <c r="N286" s="62" t="n">
        <v>46042</v>
      </c>
      <c r="O286" s="67" t="inlineStr">
        <is>
          <t xml:space="preserve">Prazo </t>
        </is>
      </c>
    </row>
    <row r="287">
      <c r="A287" s="40" t="inlineStr">
        <is>
          <t>5011063-57.2016.4.04.7200</t>
        </is>
      </c>
      <c r="B287" s="40" t="inlineStr">
        <is>
          <t>Outras</t>
        </is>
      </c>
      <c r="D287" s="67" t="inlineStr">
        <is>
          <t>Marelize Controladoria</t>
        </is>
      </c>
      <c r="E287" s="62" t="n">
        <v>46031</v>
      </c>
      <c r="F287" s="67" t="inlineStr">
        <is>
          <t>Juízo Federal da 9ª Unidade de Apoio em Execução Fiscal (RSPOA23)</t>
        </is>
      </c>
      <c r="I287" s="67" t="inlineStr">
        <is>
          <t>5013599-80.2021.8.24.0020</t>
        </is>
      </c>
      <c r="J287" s="67" t="inlineStr">
        <is>
          <t>Prazo</t>
        </is>
      </c>
      <c r="K287" s="62" t="n">
        <v>46042</v>
      </c>
      <c r="L287" s="67" t="inlineStr">
        <is>
          <t>Jessica</t>
        </is>
      </c>
      <c r="M287" s="40" t="inlineStr">
        <is>
          <t>Cumprido</t>
        </is>
      </c>
      <c r="N287" s="62" t="n">
        <v>46042</v>
      </c>
      <c r="O287" s="67" t="inlineStr">
        <is>
          <t>Prazo</t>
        </is>
      </c>
    </row>
    <row r="288">
      <c r="A288" s="40" t="inlineStr">
        <is>
          <t>5057867-40.2023.8.24.0930</t>
        </is>
      </c>
      <c r="B288" s="40" t="inlineStr">
        <is>
          <t>Outras</t>
        </is>
      </c>
      <c r="D288" s="67" t="inlineStr">
        <is>
          <t>Renata Francisco Becker</t>
        </is>
      </c>
      <c r="E288" s="62" t="n">
        <v>45754</v>
      </c>
      <c r="F288" s="67" t="inlineStr"/>
      <c r="I288" s="67" t="inlineStr">
        <is>
          <t>50039696520244047204</t>
        </is>
      </c>
      <c r="J288" s="67" t="inlineStr">
        <is>
          <t>Prazo</t>
        </is>
      </c>
      <c r="K288" s="62" t="n">
        <v>46042</v>
      </c>
      <c r="L288" s="67" t="inlineStr">
        <is>
          <t>Renata Francisco Becker</t>
        </is>
      </c>
      <c r="M288" s="40" t="inlineStr">
        <is>
          <t>Cumprido</t>
        </is>
      </c>
      <c r="N288" s="62" t="n">
        <v>46042</v>
      </c>
      <c r="O288" s="67" t="inlineStr">
        <is>
          <t xml:space="preserve">PRAZO 14/02  - MANDADO DE SEGURANÇA </t>
        </is>
      </c>
    </row>
    <row r="289">
      <c r="A289" s="40" t="inlineStr">
        <is>
          <t>5012471-83.2025.8.24.0020</t>
        </is>
      </c>
      <c r="B289" s="40" t="inlineStr">
        <is>
          <t>Outras</t>
        </is>
      </c>
      <c r="D289" s="67" t="inlineStr">
        <is>
          <t>Renata Francisco Becker</t>
        </is>
      </c>
      <c r="E289" s="62" t="n">
        <v>45791</v>
      </c>
      <c r="F289" s="67" t="inlineStr">
        <is>
          <t>da Familia</t>
        </is>
      </c>
      <c r="I289" s="67" t="inlineStr">
        <is>
          <t>5007007-54.2025.8.24.0028</t>
        </is>
      </c>
      <c r="J289" s="67" t="inlineStr">
        <is>
          <t>Prazo</t>
        </is>
      </c>
      <c r="K289" s="62" t="n">
        <v>46042</v>
      </c>
      <c r="L289" s="67" t="inlineStr">
        <is>
          <t xml:space="preserve">Alexia </t>
        </is>
      </c>
      <c r="M289" s="40" t="inlineStr">
        <is>
          <t>Cumprido</t>
        </is>
      </c>
      <c r="N289" s="62" t="n">
        <v>46042</v>
      </c>
      <c r="O289" s="67" t="inlineStr">
        <is>
          <t>Prazo inventário</t>
        </is>
      </c>
    </row>
    <row r="290">
      <c r="A290" s="40" t="inlineStr">
        <is>
          <t>5057867-40.2023.8.24.0930</t>
        </is>
      </c>
      <c r="B290" s="40" t="inlineStr">
        <is>
          <t>Outras</t>
        </is>
      </c>
      <c r="D290" s="67" t="inlineStr">
        <is>
          <t>Renata Francisco Becker</t>
        </is>
      </c>
      <c r="E290" s="62" t="n">
        <v>45825</v>
      </c>
      <c r="F290" s="67" t="inlineStr">
        <is>
          <t>Vara Estadual de Direito Bancário</t>
        </is>
      </c>
      <c r="I290" s="67" t="inlineStr">
        <is>
          <t>5065946-13.2023.8.24.0023</t>
        </is>
      </c>
      <c r="J290" s="67" t="inlineStr">
        <is>
          <t>Prazo</t>
        </is>
      </c>
      <c r="K290" s="62" t="n">
        <v>46042</v>
      </c>
      <c r="L290" s="67" t="inlineStr">
        <is>
          <t>Jessica</t>
        </is>
      </c>
      <c r="M290" s="40" t="inlineStr">
        <is>
          <t>Cumprido</t>
        </is>
      </c>
      <c r="N290" s="62" t="n">
        <v>46042</v>
      </c>
      <c r="O290" s="67" t="inlineStr">
        <is>
          <t>Prazo Tributario</t>
        </is>
      </c>
    </row>
    <row r="291">
      <c r="A291" s="40" t="inlineStr">
        <is>
          <t>5007689-86.2022.8.24.0004</t>
        </is>
      </c>
      <c r="B291" s="40" t="inlineStr">
        <is>
          <t>Outras</t>
        </is>
      </c>
      <c r="D291" s="67" t="inlineStr">
        <is>
          <t>Renata Francisco Becker</t>
        </is>
      </c>
      <c r="E291" s="62" t="n">
        <v>45747</v>
      </c>
      <c r="F291" s="67" t="inlineStr">
        <is>
          <t>Vara Cível da Comarca de Araranguá</t>
        </is>
      </c>
      <c r="I291" s="67" t="inlineStr"/>
      <c r="J291" s="67" t="inlineStr">
        <is>
          <t>Tarefa</t>
        </is>
      </c>
      <c r="K291" s="62" t="n">
        <v>46042</v>
      </c>
      <c r="L291" s="67" t="inlineStr">
        <is>
          <t>Julia</t>
        </is>
      </c>
      <c r="M291" s="40" t="inlineStr">
        <is>
          <t>Cumprido</t>
        </is>
      </c>
      <c r="N291" s="62" t="n">
        <v>46042</v>
      </c>
      <c r="O291" s="67" t="inlineStr">
        <is>
          <t>Assinaturas</t>
        </is>
      </c>
    </row>
    <row r="292">
      <c r="A292" s="40" t="n"/>
      <c r="B292" s="40" t="inlineStr">
        <is>
          <t>Outras</t>
        </is>
      </c>
      <c r="D292" s="67" t="inlineStr">
        <is>
          <t>Marelize Controladoria</t>
        </is>
      </c>
      <c r="E292" s="62" t="n">
        <v>46070</v>
      </c>
      <c r="I292" s="67" t="inlineStr">
        <is>
          <t>5057867-40.2023.8.24.0930</t>
        </is>
      </c>
      <c r="J292" s="67" t="inlineStr">
        <is>
          <t>Tarefa</t>
        </is>
      </c>
      <c r="K292" s="62" t="n">
        <v>46042</v>
      </c>
      <c r="L292" s="67" t="inlineStr">
        <is>
          <t>Marelize Controladoria</t>
        </is>
      </c>
      <c r="M292" s="40" t="inlineStr">
        <is>
          <t>Cumprido</t>
        </is>
      </c>
      <c r="N292" s="62" t="n">
        <v>46042</v>
      </c>
      <c r="O292" s="67" t="inlineStr">
        <is>
          <t>DISTRIBUIR - Embargos à Execução (Verificar citação)</t>
        </is>
      </c>
    </row>
    <row r="293">
      <c r="A293" s="40" t="n"/>
      <c r="B293" s="40" t="inlineStr">
        <is>
          <t>Outras</t>
        </is>
      </c>
      <c r="D293" s="67" t="inlineStr">
        <is>
          <t>Marelize Controladoria</t>
        </is>
      </c>
      <c r="E293" s="62" t="n">
        <v>46049</v>
      </c>
      <c r="I293" s="67" t="inlineStr">
        <is>
          <t>5003206-41.2024.8.24.0166</t>
        </is>
      </c>
      <c r="J293" s="67" t="inlineStr">
        <is>
          <t>Tarefa</t>
        </is>
      </c>
      <c r="K293" s="62" t="n">
        <v>46042</v>
      </c>
      <c r="L293" s="67" t="inlineStr">
        <is>
          <t>Jessica</t>
        </is>
      </c>
      <c r="M293" s="40" t="inlineStr">
        <is>
          <t>Cumprido</t>
        </is>
      </c>
      <c r="N293" s="62" t="n">
        <v>46042</v>
      </c>
      <c r="O293" s="67" t="inlineStr">
        <is>
          <t>Elaboração</t>
        </is>
      </c>
    </row>
    <row r="294">
      <c r="A294" s="40" t="n"/>
      <c r="B294" s="40" t="inlineStr">
        <is>
          <t>Outras</t>
        </is>
      </c>
      <c r="D294" s="67" t="inlineStr">
        <is>
          <t>Luci</t>
        </is>
      </c>
      <c r="E294" s="62" t="n">
        <v>45680</v>
      </c>
      <c r="I294" s="67" t="inlineStr"/>
      <c r="J294" s="67" t="inlineStr">
        <is>
          <t>Tarefa</t>
        </is>
      </c>
      <c r="K294" s="62" t="n">
        <v>46042</v>
      </c>
      <c r="L294" s="67" t="inlineStr">
        <is>
          <t>Julia</t>
        </is>
      </c>
      <c r="M294" s="40" t="inlineStr">
        <is>
          <t>Cumprido</t>
        </is>
      </c>
      <c r="N294" s="62" t="n">
        <v>46042</v>
      </c>
      <c r="O294" s="67" t="inlineStr">
        <is>
          <t>Elaboração</t>
        </is>
      </c>
    </row>
    <row r="295">
      <c r="A295" s="40" t="n"/>
      <c r="B295" s="40" t="inlineStr">
        <is>
          <t>Outras</t>
        </is>
      </c>
      <c r="D295" s="67" t="inlineStr">
        <is>
          <t>Marelize Controladoria</t>
        </is>
      </c>
      <c r="E295" s="62" t="n">
        <v>46084</v>
      </c>
      <c r="I295" s="67" t="inlineStr">
        <is>
          <t>5003565-33.2025.8.24.0076</t>
        </is>
      </c>
      <c r="J295" s="67" t="inlineStr">
        <is>
          <t>Tarefa</t>
        </is>
      </c>
      <c r="K295" s="62" t="n">
        <v>46042</v>
      </c>
      <c r="L295" s="67" t="inlineStr">
        <is>
          <t>Jessica</t>
        </is>
      </c>
      <c r="M295" s="40" t="inlineStr">
        <is>
          <t>Cumprido</t>
        </is>
      </c>
      <c r="N295" s="62" t="n">
        <v>46042</v>
      </c>
      <c r="O295" s="67" t="inlineStr">
        <is>
          <t>Elaboração</t>
        </is>
      </c>
    </row>
    <row r="296">
      <c r="A296" s="40" t="inlineStr">
        <is>
          <t>5000267-06.2026.8.21.0036</t>
        </is>
      </c>
      <c r="B296" s="40" t="inlineStr">
        <is>
          <t>Outras</t>
        </is>
      </c>
      <c r="D296" s="67" t="inlineStr">
        <is>
          <t>Marelize Controladoria</t>
        </is>
      </c>
      <c r="E296" s="62" t="n">
        <v>46084</v>
      </c>
      <c r="F296" s="67" t="inlineStr">
        <is>
          <t>Juizado Especial Cível</t>
        </is>
      </c>
      <c r="I296" s="67" t="inlineStr">
        <is>
          <t>50099444620248240004</t>
        </is>
      </c>
      <c r="J296" s="67" t="inlineStr">
        <is>
          <t>Tarefa</t>
        </is>
      </c>
      <c r="K296" s="62" t="n">
        <v>46042</v>
      </c>
      <c r="L296" s="67" t="inlineStr">
        <is>
          <t xml:space="preserve">Alexia </t>
        </is>
      </c>
      <c r="M296" s="40" t="inlineStr">
        <is>
          <t>Cumprido</t>
        </is>
      </c>
      <c r="N296" s="62" t="n">
        <v>46042</v>
      </c>
      <c r="O296" s="67" t="inlineStr">
        <is>
          <t>Elaboração</t>
        </is>
      </c>
    </row>
    <row r="297">
      <c r="A297" s="40" t="inlineStr">
        <is>
          <t>5003264-74.2026.8.24.0004</t>
        </is>
      </c>
      <c r="B297" s="40" t="inlineStr">
        <is>
          <t>Outras</t>
        </is>
      </c>
      <c r="D297" s="67" t="inlineStr">
        <is>
          <t>Marelize Controladoria</t>
        </is>
      </c>
      <c r="E297" s="62" t="n">
        <v>46085</v>
      </c>
      <c r="F297" s="67" t="inlineStr">
        <is>
          <t>Juízo da 2ª Vara Cível da Comarca de Araranguá</t>
        </is>
      </c>
      <c r="I297" s="67" t="inlineStr">
        <is>
          <t>5007007-54.2025.8.24.0028</t>
        </is>
      </c>
      <c r="J297" s="67" t="inlineStr">
        <is>
          <t>Tarefa</t>
        </is>
      </c>
      <c r="K297" s="62" t="n">
        <v>46042</v>
      </c>
      <c r="L297" s="67" t="inlineStr">
        <is>
          <t xml:space="preserve">Alexia </t>
        </is>
      </c>
      <c r="M297" s="40" t="inlineStr">
        <is>
          <t>Cumprido</t>
        </is>
      </c>
      <c r="N297" s="62" t="n">
        <v>46042</v>
      </c>
      <c r="O297" s="67" t="inlineStr">
        <is>
          <t>Elaboração</t>
        </is>
      </c>
    </row>
    <row r="298">
      <c r="A298" s="40" t="inlineStr">
        <is>
          <t>50166047620228240020</t>
        </is>
      </c>
      <c r="B298" s="40" t="inlineStr">
        <is>
          <t>Outras</t>
        </is>
      </c>
      <c r="D298" s="67" t="inlineStr">
        <is>
          <t>Renata Francisco Becker</t>
        </is>
      </c>
      <c r="E298" s="62" t="n">
        <v>45594</v>
      </c>
      <c r="F298" s="67" t="inlineStr">
        <is>
          <t>Juízo da 4ª Vara Cível da Comarca de Criciúma</t>
        </is>
      </c>
      <c r="I298" s="67" t="inlineStr">
        <is>
          <t>5013599-80.2021.8.24.0020</t>
        </is>
      </c>
      <c r="J298" s="67" t="inlineStr">
        <is>
          <t>Tarefa</t>
        </is>
      </c>
      <c r="K298" s="62" t="n">
        <v>46042</v>
      </c>
      <c r="L298" s="67" t="inlineStr">
        <is>
          <t>Jessica</t>
        </is>
      </c>
      <c r="M298" s="40" t="inlineStr">
        <is>
          <t>Cumprido</t>
        </is>
      </c>
      <c r="N298" s="62" t="n">
        <v>46042</v>
      </c>
      <c r="O298" s="67" t="inlineStr">
        <is>
          <t>Elaboração</t>
        </is>
      </c>
    </row>
    <row r="299">
      <c r="A299" s="40" t="inlineStr">
        <is>
          <t>5010623-66.2022.8.24.0020</t>
        </is>
      </c>
      <c r="B299" s="40" t="inlineStr">
        <is>
          <t>Outras</t>
        </is>
      </c>
      <c r="D299" s="67" t="inlineStr">
        <is>
          <t>Renata Francisco Becker</t>
        </is>
      </c>
      <c r="E299" s="62" t="n">
        <v>45754</v>
      </c>
      <c r="F299" s="67" t="inlineStr">
        <is>
          <t>Vara Cível</t>
        </is>
      </c>
      <c r="I299" s="67" t="inlineStr"/>
      <c r="J299" s="67" t="inlineStr">
        <is>
          <t>Tarefa</t>
        </is>
      </c>
      <c r="K299" s="62" t="n">
        <v>46042</v>
      </c>
      <c r="L299" s="67" t="inlineStr">
        <is>
          <t>Julia</t>
        </is>
      </c>
      <c r="M299" s="40" t="inlineStr">
        <is>
          <t>Cumprido</t>
        </is>
      </c>
      <c r="N299" s="62" t="n">
        <v>46042</v>
      </c>
      <c r="O299" s="67" t="inlineStr">
        <is>
          <t>Protocolo</t>
        </is>
      </c>
    </row>
    <row r="300">
      <c r="A300" s="40" t="inlineStr">
        <is>
          <t>5001229-74.2018.8.24.0020</t>
        </is>
      </c>
      <c r="B300" s="40" t="inlineStr">
        <is>
          <t>Outras</t>
        </is>
      </c>
      <c r="D300" s="67" t="inlineStr">
        <is>
          <t>Pedro Victor</t>
        </is>
      </c>
      <c r="E300" s="62" t="n">
        <v>45712</v>
      </c>
      <c r="F300" s="67" t="inlineStr">
        <is>
          <t>Juízo da 2ª Vara Cível da Comarca de Criciúma</t>
        </is>
      </c>
      <c r="I300" s="67" t="inlineStr">
        <is>
          <t>5009605-05.2025.8.24.0020</t>
        </is>
      </c>
      <c r="J300" s="67" t="inlineStr">
        <is>
          <t>Tarefa</t>
        </is>
      </c>
      <c r="K300" s="62" t="n">
        <v>46042</v>
      </c>
      <c r="L300" s="67" t="inlineStr">
        <is>
          <t>Julia</t>
        </is>
      </c>
      <c r="M300" s="40" t="inlineStr">
        <is>
          <t>Cumprido</t>
        </is>
      </c>
      <c r="N300" s="62" t="n">
        <v>46042</v>
      </c>
      <c r="O300" s="67" t="inlineStr">
        <is>
          <t>Protocolo</t>
        </is>
      </c>
    </row>
    <row r="301">
      <c r="A301" s="40" t="inlineStr">
        <is>
          <t>50208763120248240930</t>
        </is>
      </c>
      <c r="B301" s="40" t="inlineStr">
        <is>
          <t>Outras</t>
        </is>
      </c>
      <c r="D301" s="67" t="inlineStr">
        <is>
          <t>Renata Francisco Becker</t>
        </is>
      </c>
      <c r="E301" s="62" t="n">
        <v>45755</v>
      </c>
      <c r="F301" s="67" t="inlineStr">
        <is>
          <t>Vara Estadual de Direito Bancário</t>
        </is>
      </c>
      <c r="I301" s="67" t="inlineStr"/>
      <c r="J301" s="67" t="inlineStr">
        <is>
          <t>Tarefa</t>
        </is>
      </c>
      <c r="K301" s="62" t="n">
        <v>46042</v>
      </c>
      <c r="L301" s="67" t="inlineStr">
        <is>
          <t>Renata Francisco Becker</t>
        </is>
      </c>
      <c r="M301" s="40" t="inlineStr">
        <is>
          <t>Cumprido</t>
        </is>
      </c>
      <c r="N301" s="62" t="n">
        <v>46042</v>
      </c>
      <c r="O301" s="67" t="inlineStr">
        <is>
          <t>Revisão</t>
        </is>
      </c>
    </row>
    <row r="302">
      <c r="A302" s="40" t="inlineStr">
        <is>
          <t>5001401-92.2020.8.24.0166</t>
        </is>
      </c>
      <c r="B302" s="40" t="inlineStr">
        <is>
          <t>Outras</t>
        </is>
      </c>
      <c r="D302" s="67" t="inlineStr">
        <is>
          <t>Renata Francisco Becker</t>
        </is>
      </c>
      <c r="E302" s="62" t="n">
        <v>44711</v>
      </c>
      <c r="F302" s="67" t="inlineStr">
        <is>
          <t>Juízo da Vara Única da Comarca de Forquilhinha</t>
        </is>
      </c>
      <c r="I302" s="67" t="inlineStr"/>
      <c r="J302" s="67" t="inlineStr">
        <is>
          <t>Tarefa</t>
        </is>
      </c>
      <c r="K302" s="62" t="n">
        <v>46042</v>
      </c>
      <c r="L302" s="67" t="inlineStr">
        <is>
          <t>Julia</t>
        </is>
      </c>
      <c r="M302" s="40" t="inlineStr">
        <is>
          <t>Cumprido</t>
        </is>
      </c>
      <c r="N302" s="62" t="n">
        <v>46042</v>
      </c>
      <c r="O302" s="67" t="inlineStr">
        <is>
          <t>Revisão</t>
        </is>
      </c>
    </row>
    <row r="303">
      <c r="A303" s="40" t="inlineStr">
        <is>
          <t>0000211-70.2026.5.12.0000</t>
        </is>
      </c>
      <c r="B303" s="40" t="inlineStr">
        <is>
          <t>Outras</t>
        </is>
      </c>
      <c r="D303" s="67" t="inlineStr">
        <is>
          <t>Marelize Controladoria</t>
        </is>
      </c>
      <c r="E303" s="62" t="n">
        <v>46064</v>
      </c>
      <c r="F303" s="67" t="inlineStr">
        <is>
          <t>Gab. Des. Marcos Vinicio Zanchetta</t>
        </is>
      </c>
      <c r="I303" s="67" t="inlineStr"/>
      <c r="J303" s="67" t="inlineStr">
        <is>
          <t>Tarefa</t>
        </is>
      </c>
      <c r="K303" s="62" t="n">
        <v>46042</v>
      </c>
      <c r="L303" s="67" t="inlineStr">
        <is>
          <t>Julia</t>
        </is>
      </c>
      <c r="M303" s="40" t="inlineStr">
        <is>
          <t>Cumprido</t>
        </is>
      </c>
      <c r="N303" s="62" t="n">
        <v>46042</v>
      </c>
      <c r="O303" s="67" t="inlineStr">
        <is>
          <t>Revisão</t>
        </is>
      </c>
    </row>
    <row r="304">
      <c r="A304" s="40" t="inlineStr">
        <is>
          <t>5000591-54.2019.8.24.0166</t>
        </is>
      </c>
      <c r="B304" s="40" t="inlineStr">
        <is>
          <t>Outras</t>
        </is>
      </c>
      <c r="D304" s="67" t="inlineStr">
        <is>
          <t>Renata Francisco Becker</t>
        </is>
      </c>
      <c r="E304" s="62" t="n">
        <v>44704</v>
      </c>
      <c r="F304" s="67" t="inlineStr">
        <is>
          <t>Juízo da Vara Única da Comarca de Forquilhinha</t>
        </is>
      </c>
      <c r="I304" s="67" t="inlineStr">
        <is>
          <t>5003206-41.2024.8.24.0166</t>
        </is>
      </c>
      <c r="J304" s="67" t="inlineStr">
        <is>
          <t>Tarefa</t>
        </is>
      </c>
      <c r="K304" s="62" t="n">
        <v>46042</v>
      </c>
      <c r="L304" s="67" t="inlineStr">
        <is>
          <t>Jessica</t>
        </is>
      </c>
      <c r="M304" s="40" t="inlineStr">
        <is>
          <t>Cumprido</t>
        </is>
      </c>
      <c r="N304" s="62" t="n">
        <v>46042</v>
      </c>
      <c r="O304" s="67" t="inlineStr">
        <is>
          <t xml:space="preserve">Protocolo </t>
        </is>
      </c>
    </row>
    <row r="305">
      <c r="A305" s="40" t="inlineStr">
        <is>
          <t>5012263-82.2019.4.04.7204</t>
        </is>
      </c>
      <c r="B305" s="40" t="inlineStr">
        <is>
          <t>Outras</t>
        </is>
      </c>
      <c r="D305" s="67" t="inlineStr">
        <is>
          <t>Renata Francisco Becker</t>
        </is>
      </c>
      <c r="E305" s="62" t="n">
        <v>44746</v>
      </c>
      <c r="F305" s="67" t="inlineStr">
        <is>
          <t>Juízo Substituto da 4ª VF de Criciúma</t>
        </is>
      </c>
      <c r="I305" s="67" t="inlineStr">
        <is>
          <t>5013599-80.2021.8.24.0020</t>
        </is>
      </c>
      <c r="J305" s="67" t="inlineStr">
        <is>
          <t>Tarefa</t>
        </is>
      </c>
      <c r="K305" s="62" t="n">
        <v>46042</v>
      </c>
      <c r="L305" s="67" t="inlineStr">
        <is>
          <t>Jessica</t>
        </is>
      </c>
      <c r="M305" s="40" t="inlineStr">
        <is>
          <t>Cumprido</t>
        </is>
      </c>
      <c r="N305" s="62" t="n">
        <v>46042</v>
      </c>
      <c r="O305" s="67" t="inlineStr">
        <is>
          <t>Revisão</t>
        </is>
      </c>
    </row>
    <row r="306">
      <c r="A306" s="40" t="n"/>
      <c r="B306" s="40" t="inlineStr">
        <is>
          <t>Outras</t>
        </is>
      </c>
      <c r="D306" s="67" t="inlineStr">
        <is>
          <t>Luci</t>
        </is>
      </c>
      <c r="E306" s="62" t="n">
        <v>45666</v>
      </c>
      <c r="I306" s="67" t="inlineStr">
        <is>
          <t>5003206-41.2024.8.24.0166</t>
        </is>
      </c>
      <c r="J306" s="67" t="inlineStr">
        <is>
          <t>Tarefa</t>
        </is>
      </c>
      <c r="K306" s="62" t="n">
        <v>46042</v>
      </c>
      <c r="L306" s="67" t="inlineStr">
        <is>
          <t>Jessica</t>
        </is>
      </c>
      <c r="M306" s="40" t="inlineStr">
        <is>
          <t>Cumprido</t>
        </is>
      </c>
      <c r="N306" s="62" t="n">
        <v>46042</v>
      </c>
      <c r="O306" s="67" t="inlineStr">
        <is>
          <t>Revisão</t>
        </is>
      </c>
    </row>
    <row r="307">
      <c r="A307" s="40" t="inlineStr">
        <is>
          <t>0013798-13.2009.8.24.0020</t>
        </is>
      </c>
      <c r="B307" s="40" t="inlineStr">
        <is>
          <t>Outras</t>
        </is>
      </c>
      <c r="D307" s="67" t="inlineStr">
        <is>
          <t>Pedro Victor</t>
        </is>
      </c>
      <c r="E307" s="62" t="n">
        <v>46049</v>
      </c>
      <c r="F307" s="67" t="inlineStr">
        <is>
          <t>20º Juízo da Vara Estadual de Direito Bancário</t>
        </is>
      </c>
      <c r="I307" s="67" t="inlineStr">
        <is>
          <t>5007007-54.2025.8.24.0028</t>
        </is>
      </c>
      <c r="J307" s="67" t="inlineStr">
        <is>
          <t>Tarefa</t>
        </is>
      </c>
      <c r="K307" s="62" t="n">
        <v>46042</v>
      </c>
      <c r="L307" s="67" t="inlineStr">
        <is>
          <t xml:space="preserve">Alexia </t>
        </is>
      </c>
      <c r="M307" s="40" t="inlineStr">
        <is>
          <t>Cumprido</t>
        </is>
      </c>
      <c r="N307" s="62" t="n">
        <v>46042</v>
      </c>
      <c r="O307" s="67" t="inlineStr">
        <is>
          <t>Revisão</t>
        </is>
      </c>
    </row>
    <row r="308">
      <c r="A308" s="40" t="inlineStr">
        <is>
          <t>5013743-49.2024.8.24.0020</t>
        </is>
      </c>
      <c r="B308" s="40" t="inlineStr">
        <is>
          <t>Outras</t>
        </is>
      </c>
      <c r="D308" s="67" t="inlineStr">
        <is>
          <t>Renata Francisco Becker</t>
        </is>
      </c>
      <c r="E308" s="62" t="n">
        <v>45455</v>
      </c>
      <c r="F308" s="67" t="inlineStr">
        <is>
          <t>Juízo do Juizado Especial Cível da Comarca de Criciúma</t>
        </is>
      </c>
      <c r="I308" s="67" t="inlineStr">
        <is>
          <t>5007007-54.2025.8.24.0028</t>
        </is>
      </c>
      <c r="J308" s="67" t="inlineStr">
        <is>
          <t>Tarefa</t>
        </is>
      </c>
      <c r="K308" s="62" t="n">
        <v>46042</v>
      </c>
      <c r="L308" s="67" t="inlineStr">
        <is>
          <t xml:space="preserve">Alexia </t>
        </is>
      </c>
      <c r="M308" s="40" t="inlineStr">
        <is>
          <t>Cumprido</t>
        </is>
      </c>
      <c r="N308" s="62" t="n">
        <v>46042</v>
      </c>
      <c r="O308" s="67" t="inlineStr">
        <is>
          <t>Revisão</t>
        </is>
      </c>
    </row>
    <row r="309">
      <c r="A309" s="40" t="inlineStr">
        <is>
          <t>0300035-27.2018.8.24.0028</t>
        </is>
      </c>
      <c r="B309" s="40" t="inlineStr">
        <is>
          <t>Outras</t>
        </is>
      </c>
      <c r="D309" s="67" t="inlineStr">
        <is>
          <t>Renata Francisco Becker</t>
        </is>
      </c>
      <c r="E309" s="62" t="n">
        <v>44973</v>
      </c>
      <c r="F309" s="67" t="inlineStr">
        <is>
          <t>Juízo da 1ª Vara Cível da Comarca de Içara</t>
        </is>
      </c>
      <c r="I309" s="67" t="inlineStr">
        <is>
          <t>5003565-33.2025.8.24.0076</t>
        </is>
      </c>
      <c r="J309" s="67" t="inlineStr">
        <is>
          <t>Tarefa</t>
        </is>
      </c>
      <c r="K309" s="62" t="n">
        <v>46042</v>
      </c>
      <c r="L309" s="67" t="inlineStr">
        <is>
          <t>Jessica</t>
        </is>
      </c>
      <c r="M309" s="40" t="inlineStr">
        <is>
          <t>Cumprido</t>
        </is>
      </c>
      <c r="N309" s="62" t="n">
        <v>46042</v>
      </c>
      <c r="O309" s="67" t="inlineStr">
        <is>
          <t>Revisão</t>
        </is>
      </c>
    </row>
    <row r="310">
      <c r="A310" s="40" t="n"/>
      <c r="B310" s="40" t="inlineStr">
        <is>
          <t>Outras</t>
        </is>
      </c>
      <c r="D310" s="67" t="inlineStr">
        <is>
          <t>Pedro Victor</t>
        </is>
      </c>
      <c r="E310" s="62" t="n">
        <v>45183</v>
      </c>
      <c r="I310" s="67" t="inlineStr"/>
      <c r="J310" s="67" t="inlineStr">
        <is>
          <t>Tarefa</t>
        </is>
      </c>
      <c r="K310" s="62" t="n">
        <v>46042</v>
      </c>
      <c r="L310" s="67" t="inlineStr">
        <is>
          <t>Pedro Victor</t>
        </is>
      </c>
      <c r="M310" s="40" t="inlineStr">
        <is>
          <t>Cumprido</t>
        </is>
      </c>
      <c r="N310" s="62" t="n">
        <v>46042</v>
      </c>
      <c r="O310" s="67" t="inlineStr">
        <is>
          <t xml:space="preserve">Agendar Lucian Tributario </t>
        </is>
      </c>
    </row>
    <row r="311">
      <c r="A311" s="40" t="n"/>
      <c r="B311" s="40" t="inlineStr">
        <is>
          <t>Outras</t>
        </is>
      </c>
      <c r="D311" s="67" t="inlineStr">
        <is>
          <t>Luci</t>
        </is>
      </c>
      <c r="E311" s="62" t="n">
        <v>45573</v>
      </c>
      <c r="I311" s="67" t="inlineStr"/>
      <c r="J311" s="67" t="inlineStr">
        <is>
          <t>Tarefa</t>
        </is>
      </c>
      <c r="K311" s="62" t="n">
        <v>46042</v>
      </c>
      <c r="L311" s="67" t="inlineStr">
        <is>
          <t>Pedro Victor</t>
        </is>
      </c>
      <c r="M311" s="40" t="inlineStr">
        <is>
          <t>Cumprido</t>
        </is>
      </c>
      <c r="N311" s="62" t="n">
        <v>46042</v>
      </c>
      <c r="O311" s="67" t="inlineStr">
        <is>
          <t>agendar reunião Geandre - contador</t>
        </is>
      </c>
    </row>
    <row r="312">
      <c r="A312" s="40" t="n"/>
      <c r="B312" s="40" t="inlineStr">
        <is>
          <t>Outras</t>
        </is>
      </c>
      <c r="D312" s="67" t="inlineStr">
        <is>
          <t>Pedro Victor</t>
        </is>
      </c>
      <c r="E312" s="62" t="n">
        <v>45432</v>
      </c>
      <c r="I312" s="67" t="inlineStr"/>
      <c r="J312" s="67" t="inlineStr">
        <is>
          <t>Tarefa</t>
        </is>
      </c>
      <c r="K312" s="62" t="n">
        <v>46042</v>
      </c>
      <c r="L312" s="67" t="inlineStr">
        <is>
          <t>Pedro Victor</t>
        </is>
      </c>
      <c r="M312" s="40" t="inlineStr">
        <is>
          <t>Cumprido</t>
        </is>
      </c>
      <c r="N312" s="62" t="n">
        <v>46042</v>
      </c>
      <c r="O312" s="67" t="inlineStr">
        <is>
          <t>agendar reunião Marlon - contador</t>
        </is>
      </c>
    </row>
    <row r="313">
      <c r="A313" s="40" t="n"/>
      <c r="B313" s="40" t="inlineStr">
        <is>
          <t>Outras</t>
        </is>
      </c>
      <c r="D313" s="67" t="inlineStr">
        <is>
          <t>Jessica</t>
        </is>
      </c>
      <c r="E313" s="62" t="n">
        <v>46079</v>
      </c>
      <c r="I313" s="67" t="inlineStr"/>
      <c r="J313" s="67" t="inlineStr">
        <is>
          <t>Tarefa</t>
        </is>
      </c>
      <c r="K313" s="62" t="n">
        <v>46042</v>
      </c>
      <c r="L313" s="67" t="inlineStr">
        <is>
          <t>Pedro Victor</t>
        </is>
      </c>
      <c r="M313" s="40" t="inlineStr">
        <is>
          <t>Cumprido</t>
        </is>
      </c>
      <c r="N313" s="62" t="n">
        <v>46042</v>
      </c>
      <c r="O313" s="67" t="inlineStr">
        <is>
          <t xml:space="preserve">Agendar visita Monte
Visita faccao praia 
Geandre ararangua </t>
        </is>
      </c>
    </row>
    <row r="314">
      <c r="A314" s="40" t="inlineStr">
        <is>
          <t>5010667-29.2020.4.04.7204</t>
        </is>
      </c>
      <c r="B314" s="40" t="inlineStr">
        <is>
          <t>Outras</t>
        </is>
      </c>
      <c r="D314" s="67" t="inlineStr">
        <is>
          <t>Renata Francisco Becker</t>
        </is>
      </c>
      <c r="E314" s="62" t="n">
        <v>44719</v>
      </c>
      <c r="F314" s="67" t="inlineStr">
        <is>
          <t>Juízo Substituto da 4ª VF de Criciúma</t>
        </is>
      </c>
      <c r="I314" s="67" t="inlineStr"/>
      <c r="J314" s="67" t="inlineStr">
        <is>
          <t>Tarefa</t>
        </is>
      </c>
      <c r="K314" s="62" t="n">
        <v>46042</v>
      </c>
      <c r="L314" s="67" t="inlineStr">
        <is>
          <t>Pedro Victor</t>
        </is>
      </c>
      <c r="M314" s="40" t="inlineStr">
        <is>
          <t>Cumprido</t>
        </is>
      </c>
      <c r="N314" s="62" t="n">
        <v>46042</v>
      </c>
      <c r="O314" s="67" t="inlineStr">
        <is>
          <t>Agendar Zampie</t>
        </is>
      </c>
    </row>
    <row r="315">
      <c r="A315" s="40" t="inlineStr">
        <is>
          <t>50042099320204047204</t>
        </is>
      </c>
      <c r="B315" s="40" t="inlineStr">
        <is>
          <t>Outras</t>
        </is>
      </c>
      <c r="D315" s="67" t="inlineStr">
        <is>
          <t>Renata Francisco Becker</t>
        </is>
      </c>
      <c r="E315" s="62" t="n">
        <v>44798</v>
      </c>
      <c r="F315" s="67" t="inlineStr">
        <is>
          <t>4</t>
        </is>
      </c>
      <c r="I315" s="67" t="inlineStr"/>
      <c r="J315" s="67" t="inlineStr">
        <is>
          <t>Tarefa</t>
        </is>
      </c>
      <c r="K315" s="62" t="n">
        <v>46042</v>
      </c>
      <c r="L315" s="67" t="inlineStr">
        <is>
          <t>Marelize Controladoria</t>
        </is>
      </c>
      <c r="M315" s="40" t="inlineStr">
        <is>
          <t>Cumprido</t>
        </is>
      </c>
      <c r="N315" s="62" t="n">
        <v>46042</v>
      </c>
      <c r="O315" s="67" t="inlineStr">
        <is>
          <t xml:space="preserve">Distribuir para analise  - urgencia pois o prazo se encerra final do mes. mandar para jessica </t>
        </is>
      </c>
    </row>
    <row r="316">
      <c r="A316" s="40" t="inlineStr">
        <is>
          <t>50094938920228240004</t>
        </is>
      </c>
      <c r="B316" s="40" t="inlineStr">
        <is>
          <t>Outras</t>
        </is>
      </c>
      <c r="D316" s="67" t="inlineStr">
        <is>
          <t>Renata Francisco Becker</t>
        </is>
      </c>
      <c r="E316" s="62" t="n">
        <v>45755</v>
      </c>
      <c r="F316" s="67" t="inlineStr">
        <is>
          <t>Vara Cível</t>
        </is>
      </c>
      <c r="I316" s="67" t="inlineStr"/>
      <c r="J316" s="67" t="inlineStr">
        <is>
          <t>Tarefa</t>
        </is>
      </c>
      <c r="K316" s="62" t="n">
        <v>46042</v>
      </c>
      <c r="L316" s="67" t="inlineStr">
        <is>
          <t>Julia</t>
        </is>
      </c>
      <c r="M316" s="40" t="inlineStr">
        <is>
          <t>Cumprido</t>
        </is>
      </c>
      <c r="N316" s="62" t="n">
        <v>46042</v>
      </c>
      <c r="O316" s="67" t="inlineStr">
        <is>
          <t>Elaboração</t>
        </is>
      </c>
    </row>
    <row r="317">
      <c r="A317" s="40" t="inlineStr">
        <is>
          <t>5013787-17.2019.4.04.7204</t>
        </is>
      </c>
      <c r="B317" s="40" t="inlineStr">
        <is>
          <t>Outras</t>
        </is>
      </c>
      <c r="D317" s="67" t="inlineStr">
        <is>
          <t>Renata Francisco Becker</t>
        </is>
      </c>
      <c r="E317" s="62" t="n">
        <v>44979</v>
      </c>
      <c r="F317" s="67" t="inlineStr">
        <is>
          <t>Juízo Substituto da 4ª VF de Criciúma</t>
        </is>
      </c>
      <c r="I317" s="67" t="inlineStr"/>
      <c r="J317" s="67" t="inlineStr">
        <is>
          <t>Tarefa</t>
        </is>
      </c>
      <c r="K317" s="62" t="n">
        <v>46042</v>
      </c>
      <c r="L317" s="67" t="inlineStr">
        <is>
          <t>Julia</t>
        </is>
      </c>
      <c r="M317" s="40" t="inlineStr">
        <is>
          <t>Cumprido</t>
        </is>
      </c>
      <c r="N317" s="62" t="n">
        <v>46042</v>
      </c>
      <c r="O317" s="67" t="inlineStr">
        <is>
          <t>Elaboração</t>
        </is>
      </c>
    </row>
    <row r="318">
      <c r="A318" s="40" t="inlineStr">
        <is>
          <t>50095214320218240020</t>
        </is>
      </c>
      <c r="B318" s="40" t="inlineStr">
        <is>
          <t>Outras</t>
        </is>
      </c>
      <c r="D318" s="67" t="inlineStr">
        <is>
          <t>Renata Francisco Becker</t>
        </is>
      </c>
      <c r="E318" s="62" t="n">
        <v>44860</v>
      </c>
      <c r="F318" s="67" t="inlineStr"/>
      <c r="I318" s="67" t="inlineStr"/>
      <c r="J318" s="67" t="inlineStr">
        <is>
          <t>Tarefa</t>
        </is>
      </c>
      <c r="K318" s="62" t="n">
        <v>46042</v>
      </c>
      <c r="L318" s="67" t="inlineStr">
        <is>
          <t>Jessica</t>
        </is>
      </c>
      <c r="M318" s="40" t="inlineStr">
        <is>
          <t>Cumprido</t>
        </is>
      </c>
      <c r="N318" s="62" t="n">
        <v>46042</v>
      </c>
      <c r="O318" s="67" t="inlineStr">
        <is>
          <t>Elaboração de clausula tributária</t>
        </is>
      </c>
    </row>
    <row r="319">
      <c r="A319" s="40" t="inlineStr">
        <is>
          <t>5006068-47.2020.4.04.7204</t>
        </is>
      </c>
      <c r="B319" s="40" t="inlineStr">
        <is>
          <t>Outras</t>
        </is>
      </c>
      <c r="D319" s="67" t="inlineStr">
        <is>
          <t>Renata Francisco Becker</t>
        </is>
      </c>
      <c r="E319" s="62" t="n">
        <v>44726</v>
      </c>
      <c r="F319" s="67" t="inlineStr">
        <is>
          <t>Juízo Federal da 4ª VF de Criciúma</t>
        </is>
      </c>
      <c r="I319" s="67" t="inlineStr"/>
      <c r="J319" s="67" t="inlineStr">
        <is>
          <t>Tarefa</t>
        </is>
      </c>
      <c r="K319" s="62" t="n">
        <v>46042</v>
      </c>
      <c r="L319" s="67" t="inlineStr">
        <is>
          <t>Jessica</t>
        </is>
      </c>
      <c r="M319" s="40" t="inlineStr">
        <is>
          <t>Cumprido</t>
        </is>
      </c>
      <c r="N319" s="62" t="n">
        <v>46042</v>
      </c>
      <c r="O319" s="67" t="inlineStr">
        <is>
          <t>Elaboração de clausula tributária</t>
        </is>
      </c>
    </row>
    <row r="320">
      <c r="A320" s="40" t="inlineStr">
        <is>
          <t>5013784-62.2019.4.04.7204</t>
        </is>
      </c>
      <c r="B320" s="40" t="inlineStr">
        <is>
          <t>Outras</t>
        </is>
      </c>
      <c r="D320" s="67" t="inlineStr">
        <is>
          <t>Renata Francisco Becker</t>
        </is>
      </c>
      <c r="E320" s="62" t="n">
        <v>44774</v>
      </c>
      <c r="F320" s="67" t="inlineStr"/>
      <c r="I320" s="67" t="inlineStr"/>
      <c r="J320" s="67" t="inlineStr">
        <is>
          <t>Tarefa</t>
        </is>
      </c>
      <c r="K320" s="62" t="n">
        <v>46042</v>
      </c>
      <c r="L320" s="67" t="inlineStr">
        <is>
          <t>Marelize Controladoria</t>
        </is>
      </c>
      <c r="M320" s="40" t="inlineStr">
        <is>
          <t>Cumprido</t>
        </is>
      </c>
      <c r="N320" s="62" t="n">
        <v>46042</v>
      </c>
      <c r="O320" s="67" t="inlineStr">
        <is>
          <t xml:space="preserve">Fazer análise de viabilidade de transação tributária.
Delegar para jéssica para 21/01 </t>
        </is>
      </c>
    </row>
    <row r="321">
      <c r="A321" s="40" t="inlineStr">
        <is>
          <t>5010661-22.2020.4.04.7204</t>
        </is>
      </c>
      <c r="B321" s="40" t="inlineStr">
        <is>
          <t>Outras</t>
        </is>
      </c>
      <c r="D321" s="67" t="inlineStr">
        <is>
          <t>Renata Francisco Becker</t>
        </is>
      </c>
      <c r="E321" s="62" t="n">
        <v>44720</v>
      </c>
      <c r="F321" s="67" t="inlineStr">
        <is>
          <t>Juízo Federal da 4ª VF de Criciúma</t>
        </is>
      </c>
      <c r="I321" s="67" t="inlineStr">
        <is>
          <t>5008160-56.2024.4.04.7204</t>
        </is>
      </c>
      <c r="J321" s="67" t="inlineStr">
        <is>
          <t>Tarefa</t>
        </is>
      </c>
      <c r="K321" s="62" t="n">
        <v>46042</v>
      </c>
      <c r="L321" s="67" t="inlineStr">
        <is>
          <t xml:space="preserve">Alexia </t>
        </is>
      </c>
      <c r="M321" s="40" t="inlineStr">
        <is>
          <t>Cumprido</t>
        </is>
      </c>
      <c r="N321" s="62" t="n">
        <v>46042</v>
      </c>
      <c r="O321" s="67" t="inlineStr">
        <is>
          <t>Formular justificativa para realizar a audiência de forma online.</t>
        </is>
      </c>
    </row>
    <row r="322">
      <c r="A322" s="40" t="inlineStr">
        <is>
          <t>5010672-51.2020.4.04.7204</t>
        </is>
      </c>
      <c r="B322" s="40" t="inlineStr">
        <is>
          <t>Outras</t>
        </is>
      </c>
      <c r="D322" s="67" t="inlineStr">
        <is>
          <t>Renata Francisco Becker</t>
        </is>
      </c>
      <c r="E322" s="62" t="n">
        <v>44725</v>
      </c>
      <c r="F322" s="67" t="inlineStr">
        <is>
          <t>Juízo Substituto da 4ª VF de Criciúma</t>
        </is>
      </c>
      <c r="I322" s="67" t="inlineStr"/>
      <c r="J322" s="67" t="inlineStr">
        <is>
          <t>Tarefa</t>
        </is>
      </c>
      <c r="K322" s="62" t="n">
        <v>46042</v>
      </c>
      <c r="L322" s="67" t="inlineStr">
        <is>
          <t>Julia</t>
        </is>
      </c>
      <c r="M322" s="40" t="inlineStr">
        <is>
          <t>Cumprido</t>
        </is>
      </c>
      <c r="N322" s="62" t="n">
        <v>46042</v>
      </c>
      <c r="O322" s="67" t="inlineStr">
        <is>
          <t>Ligar para o fórum - e ver o valor da causa (5000267-06.2026.8.21.0036)</t>
        </is>
      </c>
    </row>
    <row r="323">
      <c r="A323" s="40" t="inlineStr">
        <is>
          <t>5013773-33.2019.4.04.7204</t>
        </is>
      </c>
      <c r="B323" s="40" t="inlineStr">
        <is>
          <t>Outras</t>
        </is>
      </c>
      <c r="D323" s="67" t="inlineStr">
        <is>
          <t>Renata Francisco Becker</t>
        </is>
      </c>
      <c r="E323" s="62" t="n">
        <v>44789</v>
      </c>
      <c r="F323" s="67" t="inlineStr">
        <is>
          <t>Juízo Federal da 4ª VF de Criciúma</t>
        </is>
      </c>
      <c r="I323" s="67" t="inlineStr"/>
      <c r="J323" s="67" t="inlineStr">
        <is>
          <t>Evento</t>
        </is>
      </c>
      <c r="K323" s="62" t="n">
        <v>46042</v>
      </c>
      <c r="L323" s="67" t="inlineStr">
        <is>
          <t>Jessica</t>
        </is>
      </c>
      <c r="M323" s="40" t="inlineStr">
        <is>
          <t>Cumprido</t>
        </is>
      </c>
      <c r="N323" s="62" t="n">
        <v>46042</v>
      </c>
      <c r="O323" s="67" t="inlineStr">
        <is>
          <t>Reunião MMC</t>
        </is>
      </c>
    </row>
    <row r="324">
      <c r="A324" s="40" t="inlineStr">
        <is>
          <t>5013772-48.2019.4.04.7204</t>
        </is>
      </c>
      <c r="B324" s="40" t="inlineStr">
        <is>
          <t>Outras</t>
        </is>
      </c>
      <c r="D324" s="67" t="inlineStr">
        <is>
          <t>Renata Francisco Becker</t>
        </is>
      </c>
      <c r="E324" s="62" t="n">
        <v>44802</v>
      </c>
      <c r="F324" s="67" t="inlineStr">
        <is>
          <t>Juízo Federal da 1ª VF de Tubarão</t>
        </is>
      </c>
      <c r="I324" s="67" t="inlineStr"/>
      <c r="J324" s="67" t="inlineStr">
        <is>
          <t>Evento</t>
        </is>
      </c>
      <c r="K324" s="62" t="n">
        <v>46042</v>
      </c>
      <c r="L324" s="67" t="inlineStr">
        <is>
          <t>Marelize Controladoria</t>
        </is>
      </c>
      <c r="M324" s="40" t="inlineStr">
        <is>
          <t>Cumprido</t>
        </is>
      </c>
      <c r="N324" s="62" t="n">
        <v>46042</v>
      </c>
      <c r="O324" s="67" t="inlineStr">
        <is>
          <t>Consulta Luiz Carlos Ribeiro</t>
        </is>
      </c>
    </row>
    <row r="325">
      <c r="A325" s="40" t="inlineStr">
        <is>
          <t>50142426920254047204</t>
        </is>
      </c>
      <c r="B325" s="40" t="inlineStr">
        <is>
          <t>Outras</t>
        </is>
      </c>
      <c r="D325" s="67" t="inlineStr">
        <is>
          <t>Jessica</t>
        </is>
      </c>
      <c r="E325" s="62" t="n">
        <v>45996</v>
      </c>
      <c r="F325" s="67" t="inlineStr"/>
      <c r="I325" s="67" t="inlineStr">
        <is>
          <t>48051.003931/2025-57</t>
        </is>
      </c>
      <c r="J325" s="67" t="inlineStr">
        <is>
          <t>Evento</t>
        </is>
      </c>
      <c r="K325" s="62" t="n">
        <v>46042</v>
      </c>
      <c r="L325" s="67" t="inlineStr">
        <is>
          <t>Marelize Controladoria</t>
        </is>
      </c>
      <c r="M325" s="40" t="inlineStr">
        <is>
          <t>Cumprido</t>
        </is>
      </c>
      <c r="N325" s="62" t="n">
        <v>46042</v>
      </c>
      <c r="O325" s="67" t="inlineStr">
        <is>
          <t>Reunião ANM em Florianópolis com Zumblique</t>
        </is>
      </c>
    </row>
    <row r="326">
      <c r="A326" s="40" t="n"/>
      <c r="B326" s="40" t="inlineStr">
        <is>
          <t>Outras</t>
        </is>
      </c>
      <c r="D326" s="67" t="inlineStr">
        <is>
          <t>Marelize Controladoria</t>
        </is>
      </c>
      <c r="E326" s="62" t="n">
        <v>46076</v>
      </c>
      <c r="I326" s="67" t="inlineStr"/>
      <c r="J326" s="67" t="inlineStr">
        <is>
          <t>Evento</t>
        </is>
      </c>
      <c r="K326" s="62" t="n">
        <v>46042</v>
      </c>
      <c r="L326" s="67" t="inlineStr">
        <is>
          <t>Pedro Victor</t>
        </is>
      </c>
      <c r="M326" s="40" t="inlineStr">
        <is>
          <t>Cumprido</t>
        </is>
      </c>
      <c r="N326" s="62" t="n">
        <v>46042</v>
      </c>
      <c r="O326" s="67" t="inlineStr">
        <is>
          <t>Reunião ANM Florianópolis</t>
        </is>
      </c>
    </row>
    <row r="327">
      <c r="A327" s="40" t="n"/>
      <c r="B327" s="40" t="inlineStr">
        <is>
          <t>Outras</t>
        </is>
      </c>
      <c r="D327" s="67" t="inlineStr">
        <is>
          <t>Marelize Controladoria</t>
        </is>
      </c>
      <c r="E327" s="62" t="n">
        <v>46084</v>
      </c>
      <c r="I327" s="67" t="inlineStr"/>
      <c r="J327" s="67" t="inlineStr">
        <is>
          <t>Evento</t>
        </is>
      </c>
      <c r="K327" s="62" t="n">
        <v>46042</v>
      </c>
      <c r="L327" s="67" t="inlineStr">
        <is>
          <t>Renata Francisco Becker</t>
        </is>
      </c>
      <c r="M327" s="40" t="inlineStr">
        <is>
          <t>Cumprido</t>
        </is>
      </c>
      <c r="N327" s="62" t="n">
        <v>46042</v>
      </c>
      <c r="O327" s="67" t="inlineStr">
        <is>
          <t xml:space="preserve">Atendimento Lorrayne (mae) </t>
        </is>
      </c>
    </row>
    <row r="328">
      <c r="A328" s="40" t="n"/>
      <c r="B328" s="40" t="inlineStr">
        <is>
          <t>Outras</t>
        </is>
      </c>
      <c r="D328" s="67" t="inlineStr">
        <is>
          <t>Marelize Controladoria</t>
        </is>
      </c>
      <c r="E328" s="62" t="n">
        <v>46062</v>
      </c>
      <c r="I328" s="67" t="inlineStr"/>
      <c r="J328" s="67" t="inlineStr">
        <is>
          <t>Prazo</t>
        </is>
      </c>
      <c r="K328" s="62" t="n">
        <v>46043</v>
      </c>
      <c r="L328" s="67" t="inlineStr">
        <is>
          <t>Julia</t>
        </is>
      </c>
      <c r="M328" s="40" t="inlineStr">
        <is>
          <t>Cumprido</t>
        </is>
      </c>
      <c r="N328" s="62" t="n">
        <v>46043</v>
      </c>
      <c r="O328" s="67" t="inlineStr">
        <is>
          <t>Analise de contrato CR Empreendimentos</t>
        </is>
      </c>
    </row>
    <row r="329">
      <c r="A329" s="40" t="n"/>
      <c r="B329" s="40" t="inlineStr">
        <is>
          <t>Outras</t>
        </is>
      </c>
      <c r="D329" s="67" t="inlineStr">
        <is>
          <t>Marelize Controladoria</t>
        </is>
      </c>
      <c r="E329" s="62" t="n">
        <v>46083</v>
      </c>
      <c r="I329" s="67" t="inlineStr"/>
      <c r="J329" s="67" t="inlineStr">
        <is>
          <t>Prazo</t>
        </is>
      </c>
      <c r="K329" s="62" t="n">
        <v>46043</v>
      </c>
      <c r="L329" s="67" t="inlineStr">
        <is>
          <t>Jessica</t>
        </is>
      </c>
      <c r="M329" s="40" t="inlineStr">
        <is>
          <t>Cumprido</t>
        </is>
      </c>
      <c r="N329" s="62" t="n">
        <v>46043</v>
      </c>
      <c r="O329" s="67" t="inlineStr">
        <is>
          <t>Analise de viabilidade de transação tributária</t>
        </is>
      </c>
    </row>
    <row r="330">
      <c r="A330" s="40" t="inlineStr">
        <is>
          <t>5012518-57.2025.8.24.0020</t>
        </is>
      </c>
      <c r="B330" s="40" t="inlineStr">
        <is>
          <t>Outras</t>
        </is>
      </c>
      <c r="D330" s="67" t="inlineStr">
        <is>
          <t>Renata Francisco Becker</t>
        </is>
      </c>
      <c r="E330" s="62" t="n">
        <v>45876</v>
      </c>
      <c r="F330" s="67" t="inlineStr"/>
      <c r="I330" s="67" t="inlineStr">
        <is>
          <t>0000579-26.2017.5.12.0055</t>
        </is>
      </c>
      <c r="J330" s="67" t="inlineStr">
        <is>
          <t>Prazo</t>
        </is>
      </c>
      <c r="K330" s="62" t="n">
        <v>46043</v>
      </c>
      <c r="L330" s="67" t="inlineStr">
        <is>
          <t>Luci</t>
        </is>
      </c>
      <c r="M330" s="40" t="inlineStr">
        <is>
          <t>Cumprido</t>
        </is>
      </c>
      <c r="N330" s="62" t="n">
        <v>46043</v>
      </c>
      <c r="O330" s="67" t="inlineStr">
        <is>
          <t>Colonetti x antonio lourenço</t>
        </is>
      </c>
    </row>
    <row r="331">
      <c r="A331" s="40" t="n"/>
      <c r="B331" s="40" t="inlineStr">
        <is>
          <t>Outras</t>
        </is>
      </c>
      <c r="D331" s="67" t="inlineStr">
        <is>
          <t>Marelize Controladoria</t>
        </is>
      </c>
      <c r="E331" s="62" t="n">
        <v>46076</v>
      </c>
      <c r="I331" s="67" t="inlineStr"/>
      <c r="J331" s="67" t="inlineStr">
        <is>
          <t>Prazo</t>
        </is>
      </c>
      <c r="K331" s="62" t="n">
        <v>46043</v>
      </c>
      <c r="L331" s="67" t="inlineStr">
        <is>
          <t>Julia</t>
        </is>
      </c>
      <c r="M331" s="40" t="inlineStr">
        <is>
          <t>Cumprido</t>
        </is>
      </c>
      <c r="N331" s="62" t="n">
        <v>46043</v>
      </c>
      <c r="O331" s="67" t="inlineStr">
        <is>
          <t>Confissão de Dívida (Rafael)</t>
        </is>
      </c>
    </row>
    <row r="332">
      <c r="A332" s="40" t="inlineStr">
        <is>
          <t>50006780720248240175</t>
        </is>
      </c>
      <c r="B332" s="40" t="inlineStr">
        <is>
          <t>Outras</t>
        </is>
      </c>
      <c r="D332" s="67" t="inlineStr">
        <is>
          <t>Renata Francisco Becker</t>
        </is>
      </c>
      <c r="E332" s="62" t="n">
        <v>45755</v>
      </c>
      <c r="F332" s="67" t="inlineStr">
        <is>
          <t>Vara Única</t>
        </is>
      </c>
      <c r="I332" s="67" t="inlineStr">
        <is>
          <t>5003445-90.2025.8.24.0075</t>
        </is>
      </c>
      <c r="J332" s="67" t="inlineStr">
        <is>
          <t>Prazo</t>
        </is>
      </c>
      <c r="K332" s="62" t="n">
        <v>46043</v>
      </c>
      <c r="L332" s="67" t="inlineStr">
        <is>
          <t>Jessica</t>
        </is>
      </c>
      <c r="M332" s="40" t="inlineStr">
        <is>
          <t>Cumprido</t>
        </is>
      </c>
      <c r="N332" s="62" t="n">
        <v>46043</v>
      </c>
      <c r="O332" s="67" t="inlineStr">
        <is>
          <t>Contestação</t>
        </is>
      </c>
    </row>
    <row r="333">
      <c r="A333" s="40" t="n"/>
      <c r="B333" s="40" t="inlineStr">
        <is>
          <t>Outras</t>
        </is>
      </c>
      <c r="D333" s="67" t="inlineStr">
        <is>
          <t>Marelize Controladoria</t>
        </is>
      </c>
      <c r="E333" s="62" t="n">
        <v>46051</v>
      </c>
      <c r="I333" s="67" t="inlineStr">
        <is>
          <t>01560009520055120033</t>
        </is>
      </c>
      <c r="J333" s="67" t="inlineStr">
        <is>
          <t>Prazo</t>
        </is>
      </c>
      <c r="K333" s="62" t="n">
        <v>46043</v>
      </c>
      <c r="L333" s="67" t="inlineStr">
        <is>
          <t>Pedro Victor</t>
        </is>
      </c>
      <c r="M333" s="40" t="inlineStr">
        <is>
          <t>Cumprido</t>
        </is>
      </c>
      <c r="N333" s="62" t="n">
        <v>46043</v>
      </c>
      <c r="O333" s="67" t="inlineStr">
        <is>
          <t>Prazo</t>
        </is>
      </c>
    </row>
    <row r="334">
      <c r="A334" s="40" t="inlineStr">
        <is>
          <t>5002115-78.2026.8.24.0930</t>
        </is>
      </c>
      <c r="B334" s="40" t="inlineStr">
        <is>
          <t>Outras</t>
        </is>
      </c>
      <c r="D334" s="67" t="inlineStr">
        <is>
          <t>Pedro Victor</t>
        </is>
      </c>
      <c r="E334" s="62" t="n">
        <v>46077</v>
      </c>
      <c r="F334" s="67" t="inlineStr"/>
      <c r="I334" s="67" t="inlineStr">
        <is>
          <t>5003565-33.2025.8.24.0076</t>
        </is>
      </c>
      <c r="J334" s="67" t="inlineStr">
        <is>
          <t>Prazo</t>
        </is>
      </c>
      <c r="K334" s="62" t="n">
        <v>46043</v>
      </c>
      <c r="L334" s="67" t="inlineStr">
        <is>
          <t>Jessica</t>
        </is>
      </c>
      <c r="M334" s="40" t="inlineStr">
        <is>
          <t>Cumprido</t>
        </is>
      </c>
      <c r="N334" s="62" t="n">
        <v>46043</v>
      </c>
      <c r="O334" s="67" t="inlineStr">
        <is>
          <t xml:space="preserve">Prazo </t>
        </is>
      </c>
    </row>
    <row r="335">
      <c r="A335" s="40" t="inlineStr">
        <is>
          <t>0900002-25.2019.8.24.0166</t>
        </is>
      </c>
      <c r="B335" s="40" t="inlineStr">
        <is>
          <t>Outras</t>
        </is>
      </c>
      <c r="D335" s="67" t="inlineStr">
        <is>
          <t>Renata Francisco Becker</t>
        </is>
      </c>
      <c r="E335" s="62" t="n">
        <v>44746</v>
      </c>
      <c r="F335" s="67" t="inlineStr">
        <is>
          <t>Juízo da Vara Única da Comarca de Forquilhinha</t>
        </is>
      </c>
      <c r="I335" s="67" t="inlineStr">
        <is>
          <t>0001324-12.2025.5.12.0027</t>
        </is>
      </c>
      <c r="J335" s="67" t="inlineStr">
        <is>
          <t>Prazo</t>
        </is>
      </c>
      <c r="K335" s="62" t="n">
        <v>46043</v>
      </c>
      <c r="L335" s="67" t="inlineStr">
        <is>
          <t>Luci</t>
        </is>
      </c>
      <c r="M335" s="40" t="inlineStr">
        <is>
          <t>Cumprido</t>
        </is>
      </c>
      <c r="N335" s="62" t="n">
        <v>46043</v>
      </c>
      <c r="O335" s="67" t="inlineStr">
        <is>
          <t>Prazo</t>
        </is>
      </c>
    </row>
    <row r="336">
      <c r="A336" s="40" t="inlineStr">
        <is>
          <t>50048391320244047204</t>
        </is>
      </c>
      <c r="B336" s="40" t="inlineStr">
        <is>
          <t>Outras</t>
        </is>
      </c>
      <c r="D336" s="67" t="inlineStr">
        <is>
          <t>Pedro Victor</t>
        </is>
      </c>
      <c r="E336" s="62" t="n">
        <v>45917</v>
      </c>
      <c r="F336" s="67" t="inlineStr">
        <is>
          <t>Juízo Federal da 4ª Unidade de Apoio em Execução Fiscal (PRLON07)</t>
        </is>
      </c>
      <c r="I336" s="67" t="inlineStr">
        <is>
          <t>0001682-49.2025.5.12.0003</t>
        </is>
      </c>
      <c r="J336" s="67" t="inlineStr">
        <is>
          <t>Prazo</t>
        </is>
      </c>
      <c r="K336" s="62" t="n">
        <v>46043</v>
      </c>
      <c r="L336" s="67" t="inlineStr">
        <is>
          <t>Luci</t>
        </is>
      </c>
      <c r="M336" s="40" t="inlineStr">
        <is>
          <t>Cumprido</t>
        </is>
      </c>
      <c r="N336" s="62" t="n">
        <v>46043</v>
      </c>
      <c r="O336" s="67" t="inlineStr">
        <is>
          <t>Prazo (aud para homologação do acordo)</t>
        </is>
      </c>
    </row>
    <row r="337">
      <c r="A337" s="40" t="inlineStr">
        <is>
          <t>5028527-65.2023.8.24.0020</t>
        </is>
      </c>
      <c r="B337" s="40" t="inlineStr">
        <is>
          <t>Outras</t>
        </is>
      </c>
      <c r="D337" s="67" t="inlineStr">
        <is>
          <t>Renata Francisco Becker</t>
        </is>
      </c>
      <c r="E337" s="62" t="n">
        <v>45544</v>
      </c>
      <c r="F337" s="67" t="inlineStr">
        <is>
          <t>Juízo da 1ª Vara Criminal da Comarca de Criciúma</t>
        </is>
      </c>
      <c r="I337" s="67" t="inlineStr">
        <is>
          <t>0000958-45.2025.512.0003</t>
        </is>
      </c>
      <c r="J337" s="67" t="inlineStr">
        <is>
          <t>Prazo</t>
        </is>
      </c>
      <c r="K337" s="62" t="n">
        <v>46043</v>
      </c>
      <c r="L337" s="67" t="inlineStr">
        <is>
          <t>Luci</t>
        </is>
      </c>
      <c r="M337" s="40" t="inlineStr">
        <is>
          <t>Cumprido</t>
        </is>
      </c>
      <c r="N337" s="62" t="n">
        <v>46043</v>
      </c>
      <c r="O337" s="67" t="inlineStr">
        <is>
          <t>Prazo (provas)</t>
        </is>
      </c>
    </row>
    <row r="338">
      <c r="A338" s="40" t="inlineStr">
        <is>
          <t>5004664-75.2026.8.24.0020</t>
        </is>
      </c>
      <c r="B338" s="40" t="inlineStr">
        <is>
          <t>Outras</t>
        </is>
      </c>
      <c r="D338" s="67" t="inlineStr">
        <is>
          <t>Renata Francisco Becker</t>
        </is>
      </c>
      <c r="E338" s="62" t="n">
        <v>46080</v>
      </c>
      <c r="F338" s="67" t="inlineStr">
        <is>
          <t>Juízo da 2ª Vara Cível da Comarca de Criciúma</t>
        </is>
      </c>
      <c r="I338" s="67" t="inlineStr">
        <is>
          <t>0000750-86.2025.5.12.0027</t>
        </is>
      </c>
      <c r="J338" s="67" t="inlineStr">
        <is>
          <t>Prazo</t>
        </is>
      </c>
      <c r="K338" s="62" t="n">
        <v>46043</v>
      </c>
      <c r="L338" s="67" t="inlineStr">
        <is>
          <t>Luci</t>
        </is>
      </c>
      <c r="M338" s="40" t="inlineStr">
        <is>
          <t>Cumprido</t>
        </is>
      </c>
      <c r="N338" s="62" t="n">
        <v>46043</v>
      </c>
      <c r="O338" s="67" t="inlineStr">
        <is>
          <t>Prazo (Sentença de cumprimento de acordo)</t>
        </is>
      </c>
    </row>
    <row r="339">
      <c r="A339" s="40" t="inlineStr">
        <is>
          <t>5000969-70.2025.8.24.0175</t>
        </is>
      </c>
      <c r="B339" s="40" t="inlineStr">
        <is>
          <t>Outras</t>
        </is>
      </c>
      <c r="D339" s="67" t="inlineStr">
        <is>
          <t>Pedro Victor</t>
        </is>
      </c>
      <c r="E339" s="62" t="n">
        <v>45905</v>
      </c>
      <c r="F339" s="67" t="inlineStr">
        <is>
          <t>Juizo da vara unica</t>
        </is>
      </c>
      <c r="I339" s="67" t="inlineStr">
        <is>
          <t>50298694320258240020</t>
        </is>
      </c>
      <c r="J339" s="67" t="inlineStr">
        <is>
          <t>Prazo</t>
        </is>
      </c>
      <c r="K339" s="62" t="n">
        <v>46043</v>
      </c>
      <c r="L339" s="67" t="inlineStr">
        <is>
          <t>Julia</t>
        </is>
      </c>
      <c r="M339" s="40" t="inlineStr">
        <is>
          <t>Cumprido</t>
        </is>
      </c>
      <c r="N339" s="62" t="n">
        <v>46043</v>
      </c>
      <c r="O339" s="67" t="inlineStr">
        <is>
          <t>Prazo - juntada de procuração</t>
        </is>
      </c>
    </row>
    <row r="340">
      <c r="A340" s="40" t="n"/>
      <c r="B340" s="40" t="inlineStr">
        <is>
          <t>Outras</t>
        </is>
      </c>
      <c r="D340" s="67" t="inlineStr">
        <is>
          <t>Jessica</t>
        </is>
      </c>
      <c r="E340" s="62" t="n">
        <v>46073</v>
      </c>
      <c r="I340" s="67" t="inlineStr">
        <is>
          <t>03063527020158240020</t>
        </is>
      </c>
      <c r="J340" s="67" t="inlineStr">
        <is>
          <t>Prazo</t>
        </is>
      </c>
      <c r="K340" s="62" t="n">
        <v>46043</v>
      </c>
      <c r="L340" s="67" t="inlineStr">
        <is>
          <t>Renata Francisco Becker</t>
        </is>
      </c>
      <c r="M340" s="40" t="inlineStr">
        <is>
          <t>Cumprido</t>
        </is>
      </c>
      <c r="N340" s="62" t="n">
        <v>46043</v>
      </c>
      <c r="O340" s="67" t="inlineStr">
        <is>
          <t>Prazo - PF 22.01 (Back)</t>
        </is>
      </c>
    </row>
    <row r="341">
      <c r="A341" s="40" t="inlineStr">
        <is>
          <t>5000123-81.2025.8.24.0004</t>
        </is>
      </c>
      <c r="B341" s="40" t="inlineStr">
        <is>
          <t>Outras</t>
        </is>
      </c>
      <c r="D341" s="67" t="inlineStr">
        <is>
          <t>Renata Francisco Becker</t>
        </is>
      </c>
      <c r="E341" s="62" t="n">
        <v>45786</v>
      </c>
      <c r="F341" s="67" t="inlineStr">
        <is>
          <t>Vara Cível</t>
        </is>
      </c>
      <c r="I341" s="67" t="inlineStr">
        <is>
          <t>5010580-75.2025.8.24.0004</t>
        </is>
      </c>
      <c r="J341" s="67" t="inlineStr">
        <is>
          <t>Prazo</t>
        </is>
      </c>
      <c r="K341" s="62" t="n">
        <v>46043</v>
      </c>
      <c r="L341" s="67" t="inlineStr">
        <is>
          <t>Renata Francisco Becker</t>
        </is>
      </c>
      <c r="M341" s="40" t="inlineStr">
        <is>
          <t>Cumprido</t>
        </is>
      </c>
      <c r="N341" s="62" t="n">
        <v>46043</v>
      </c>
      <c r="O341" s="67" t="inlineStr">
        <is>
          <t>Prazo Luiz henrique</t>
        </is>
      </c>
    </row>
    <row r="342">
      <c r="A342" s="40" t="inlineStr">
        <is>
          <t>5019388-21.2025.8.24.0020</t>
        </is>
      </c>
      <c r="B342" s="40" t="inlineStr">
        <is>
          <t>Outras</t>
        </is>
      </c>
      <c r="D342" s="67" t="inlineStr">
        <is>
          <t>Renata Francisco Becker</t>
        </is>
      </c>
      <c r="E342" s="62" t="n">
        <v>45882</v>
      </c>
      <c r="F342" s="67" t="inlineStr">
        <is>
          <t>3° Vara Civel</t>
        </is>
      </c>
      <c r="I342" s="67" t="inlineStr">
        <is>
          <t>50061370320258240030</t>
        </is>
      </c>
      <c r="J342" s="67" t="inlineStr">
        <is>
          <t>Prazo</t>
        </is>
      </c>
      <c r="K342" s="62" t="n">
        <v>46043</v>
      </c>
      <c r="L342" s="67" t="inlineStr">
        <is>
          <t>Renata Francisco Becker</t>
        </is>
      </c>
      <c r="M342" s="40" t="inlineStr">
        <is>
          <t>Cumprido</t>
        </is>
      </c>
      <c r="N342" s="62" t="n">
        <v>46043</v>
      </c>
      <c r="O342" s="67" t="inlineStr">
        <is>
          <t>Prazo Réplica - DOC maite</t>
        </is>
      </c>
    </row>
    <row r="343">
      <c r="A343" s="40" t="inlineStr">
        <is>
          <t>50138404920248240020</t>
        </is>
      </c>
      <c r="B343" s="40" t="inlineStr">
        <is>
          <t>Outras</t>
        </is>
      </c>
      <c r="D343" s="67" t="inlineStr">
        <is>
          <t>Renata Francisco Becker</t>
        </is>
      </c>
      <c r="E343" s="62" t="n">
        <v>45446</v>
      </c>
      <c r="F343" s="67" t="inlineStr">
        <is>
          <t>2</t>
        </is>
      </c>
      <c r="I343" s="67" t="inlineStr">
        <is>
          <t>0001647-89.2025.5.12.0003</t>
        </is>
      </c>
      <c r="J343" s="67" t="inlineStr">
        <is>
          <t>Prazo</t>
        </is>
      </c>
      <c r="K343" s="62" t="n">
        <v>46043</v>
      </c>
      <c r="L343" s="67" t="inlineStr">
        <is>
          <t>Luci</t>
        </is>
      </c>
      <c r="M343" s="40" t="inlineStr">
        <is>
          <t>Cumprido</t>
        </is>
      </c>
      <c r="N343" s="62" t="n">
        <v>46043</v>
      </c>
      <c r="O343" s="67" t="inlineStr">
        <is>
          <t>Prazo Urgente (Audiência de Homologação)</t>
        </is>
      </c>
    </row>
    <row r="344">
      <c r="A344" s="40" t="n"/>
      <c r="B344" s="40" t="inlineStr">
        <is>
          <t>Outras</t>
        </is>
      </c>
      <c r="D344" s="67" t="inlineStr">
        <is>
          <t>Marelize Controladoria</t>
        </is>
      </c>
      <c r="E344" s="62" t="n">
        <v>46028</v>
      </c>
      <c r="I344" s="67" t="inlineStr"/>
      <c r="J344" s="67" t="inlineStr">
        <is>
          <t>Prazo</t>
        </is>
      </c>
      <c r="K344" s="62" t="n">
        <v>46043</v>
      </c>
      <c r="L344" s="67" t="inlineStr">
        <is>
          <t>Jessica</t>
        </is>
      </c>
      <c r="M344" s="40" t="inlineStr">
        <is>
          <t>Cumprido</t>
        </is>
      </c>
      <c r="N344" s="62" t="n">
        <v>46043</v>
      </c>
      <c r="O344" s="67" t="inlineStr">
        <is>
          <t>Prazo Urgente - transação feita</t>
        </is>
      </c>
    </row>
    <row r="345">
      <c r="A345" s="40" t="inlineStr">
        <is>
          <t>0900606-70.2018.8.24.0020</t>
        </is>
      </c>
      <c r="B345" s="40" t="inlineStr">
        <is>
          <t>Outras</t>
        </is>
      </c>
      <c r="D345" s="67" t="inlineStr">
        <is>
          <t>Renata Francisco Becker</t>
        </is>
      </c>
      <c r="E345" s="62" t="n">
        <v>44704</v>
      </c>
      <c r="F345" s="67" t="inlineStr">
        <is>
          <t>Juízo da 2ª Vara da Fazenda Pública da Comarca de Criciúma</t>
        </is>
      </c>
      <c r="I345" s="67" t="inlineStr">
        <is>
          <t>0001610-62.2025.5.12.0003</t>
        </is>
      </c>
      <c r="J345" s="67" t="inlineStr">
        <is>
          <t>Prazo</t>
        </is>
      </c>
      <c r="K345" s="62" t="n">
        <v>46043</v>
      </c>
      <c r="L345" s="67" t="inlineStr">
        <is>
          <t>Pedro Victor</t>
        </is>
      </c>
      <c r="M345" s="40" t="inlineStr">
        <is>
          <t>Cumprido</t>
        </is>
      </c>
      <c r="N345" s="62" t="n">
        <v>46043</v>
      </c>
      <c r="O345" s="67" t="inlineStr">
        <is>
          <t>RAIKAR JOHN ROCHA - 26/01/2026</t>
        </is>
      </c>
    </row>
    <row r="346">
      <c r="A346" s="40" t="n"/>
      <c r="B346" s="40" t="inlineStr">
        <is>
          <t>Outras</t>
        </is>
      </c>
      <c r="D346" s="67" t="inlineStr">
        <is>
          <t>Marelize Controladoria</t>
        </is>
      </c>
      <c r="E346" s="62" t="n">
        <v>46065</v>
      </c>
      <c r="I346" s="67" t="inlineStr">
        <is>
          <t>50061370320258240030</t>
        </is>
      </c>
      <c r="J346" s="67" t="inlineStr">
        <is>
          <t>Tarefa</t>
        </is>
      </c>
      <c r="K346" s="62" t="n">
        <v>46043</v>
      </c>
      <c r="L346" s="67" t="inlineStr">
        <is>
          <t>Renata Francisco Becker</t>
        </is>
      </c>
      <c r="M346" s="40" t="inlineStr">
        <is>
          <t>Cumprido</t>
        </is>
      </c>
      <c r="N346" s="62" t="n">
        <v>46043</v>
      </c>
      <c r="O346" s="67" t="inlineStr">
        <is>
          <t>Elaboração</t>
        </is>
      </c>
    </row>
    <row r="347">
      <c r="A347" s="40" t="inlineStr">
        <is>
          <t>5003021-38.2023.8.24.0004</t>
        </is>
      </c>
      <c r="B347" s="40" t="inlineStr">
        <is>
          <t>Outras</t>
        </is>
      </c>
      <c r="D347" s="67" t="inlineStr">
        <is>
          <t>Renata Francisco Becker</t>
        </is>
      </c>
      <c r="E347" s="62" t="n">
        <v>45747</v>
      </c>
      <c r="F347" s="67" t="inlineStr">
        <is>
          <t>Vara Cível</t>
        </is>
      </c>
      <c r="I347" s="67" t="inlineStr">
        <is>
          <t>0000958-45.2025.512.0003</t>
        </is>
      </c>
      <c r="J347" s="67" t="inlineStr">
        <is>
          <t>Tarefa</t>
        </is>
      </c>
      <c r="K347" s="62" t="n">
        <v>46043</v>
      </c>
      <c r="L347" s="67" t="inlineStr">
        <is>
          <t>Luci</t>
        </is>
      </c>
      <c r="M347" s="40" t="inlineStr">
        <is>
          <t>Cumprido</t>
        </is>
      </c>
      <c r="N347" s="62" t="n">
        <v>46043</v>
      </c>
      <c r="O347" s="67" t="inlineStr">
        <is>
          <t>Elaboração</t>
        </is>
      </c>
    </row>
    <row r="348">
      <c r="A348" s="40" t="n"/>
      <c r="B348" s="40" t="inlineStr">
        <is>
          <t>Outras</t>
        </is>
      </c>
      <c r="D348" s="67" t="inlineStr">
        <is>
          <t>Marelize Controladoria</t>
        </is>
      </c>
      <c r="E348" s="62" t="n">
        <v>46078</v>
      </c>
      <c r="I348" s="67" t="inlineStr">
        <is>
          <t>5010580-75.2025.8.24.0004</t>
        </is>
      </c>
      <c r="J348" s="67" t="inlineStr">
        <is>
          <t>Tarefa</t>
        </is>
      </c>
      <c r="K348" s="62" t="n">
        <v>46043</v>
      </c>
      <c r="L348" s="67" t="inlineStr">
        <is>
          <t>Renata Francisco Becker</t>
        </is>
      </c>
      <c r="M348" s="40" t="inlineStr">
        <is>
          <t>Cumprido</t>
        </is>
      </c>
      <c r="N348" s="62" t="n">
        <v>46043</v>
      </c>
      <c r="O348" s="67" t="inlineStr">
        <is>
          <t>Elaboração</t>
        </is>
      </c>
    </row>
    <row r="349">
      <c r="A349" s="40" t="n"/>
      <c r="B349" s="40" t="inlineStr">
        <is>
          <t>Outras</t>
        </is>
      </c>
      <c r="D349" s="67" t="inlineStr">
        <is>
          <t>Marelize Controladoria</t>
        </is>
      </c>
      <c r="E349" s="62" t="n">
        <v>46070</v>
      </c>
      <c r="I349" s="67" t="inlineStr">
        <is>
          <t>5003445-90.2025.8.24.0075</t>
        </is>
      </c>
      <c r="J349" s="67" t="inlineStr">
        <is>
          <t>Tarefa</t>
        </is>
      </c>
      <c r="K349" s="62" t="n">
        <v>46043</v>
      </c>
      <c r="L349" s="67" t="inlineStr">
        <is>
          <t>Jessica</t>
        </is>
      </c>
      <c r="M349" s="40" t="inlineStr">
        <is>
          <t>Cumprido</t>
        </is>
      </c>
      <c r="N349" s="62" t="n">
        <v>46043</v>
      </c>
      <c r="O349" s="67" t="inlineStr">
        <is>
          <t>Elaboração</t>
        </is>
      </c>
    </row>
    <row r="350">
      <c r="A350" s="40" t="inlineStr">
        <is>
          <t>5001487-24.2024.8.24.0166</t>
        </is>
      </c>
      <c r="B350" s="40" t="inlineStr">
        <is>
          <t>Outras</t>
        </is>
      </c>
      <c r="D350" s="67" t="inlineStr">
        <is>
          <t>Renata Francisco Becker</t>
        </is>
      </c>
      <c r="E350" s="62" t="n">
        <v>45460</v>
      </c>
      <c r="F350" s="67" t="inlineStr">
        <is>
          <t>Juízo da Vara Única da Comarca de Forquilhinha</t>
        </is>
      </c>
      <c r="I350" s="67" t="inlineStr">
        <is>
          <t>5013599-80.2021.8.24.0020</t>
        </is>
      </c>
      <c r="J350" s="67" t="inlineStr">
        <is>
          <t>Tarefa</t>
        </is>
      </c>
      <c r="K350" s="62" t="n">
        <v>46043</v>
      </c>
      <c r="L350" s="67" t="inlineStr">
        <is>
          <t>Jessica</t>
        </is>
      </c>
      <c r="M350" s="40" t="inlineStr">
        <is>
          <t>Cumprido</t>
        </is>
      </c>
      <c r="N350" s="62" t="n">
        <v>46043</v>
      </c>
      <c r="O350" s="67" t="inlineStr">
        <is>
          <t>Protocolo</t>
        </is>
      </c>
    </row>
    <row r="351">
      <c r="A351" s="40" t="inlineStr">
        <is>
          <t>5005985-02.2018.4.04.7204</t>
        </is>
      </c>
      <c r="B351" s="40" t="inlineStr">
        <is>
          <t>Outras</t>
        </is>
      </c>
      <c r="D351" s="67" t="inlineStr">
        <is>
          <t>Renata Francisco Becker</t>
        </is>
      </c>
      <c r="E351" s="62" t="n">
        <v>44715</v>
      </c>
      <c r="F351" s="67" t="inlineStr">
        <is>
          <t>Juízo Federal da 4ª VF de Criciúma</t>
        </is>
      </c>
      <c r="I351" s="67" t="inlineStr">
        <is>
          <t>5007007-54.2025.8.24.0028</t>
        </is>
      </c>
      <c r="J351" s="67" t="inlineStr">
        <is>
          <t>Tarefa</t>
        </is>
      </c>
      <c r="K351" s="62" t="n">
        <v>46043</v>
      </c>
      <c r="L351" s="67" t="inlineStr">
        <is>
          <t xml:space="preserve">Alexia </t>
        </is>
      </c>
      <c r="M351" s="40" t="inlineStr">
        <is>
          <t>Cumprido</t>
        </is>
      </c>
      <c r="N351" s="62" t="n">
        <v>46043</v>
      </c>
      <c r="O351" s="67" t="inlineStr">
        <is>
          <t>Protocolo</t>
        </is>
      </c>
    </row>
    <row r="352">
      <c r="A352" s="40" t="inlineStr">
        <is>
          <t>5007167-76.2025.4.04.7204</t>
        </is>
      </c>
      <c r="B352" s="40" t="inlineStr">
        <is>
          <t>Outras</t>
        </is>
      </c>
      <c r="D352" s="67" t="inlineStr">
        <is>
          <t>Renata Francisco Becker</t>
        </is>
      </c>
      <c r="E352" s="62" t="n">
        <v>45876</v>
      </c>
      <c r="F352" s="67" t="inlineStr">
        <is>
          <t>1° VF</t>
        </is>
      </c>
      <c r="I352" s="67" t="inlineStr">
        <is>
          <t>5007007-54.2025.8.24.0028</t>
        </is>
      </c>
      <c r="J352" s="67" t="inlineStr">
        <is>
          <t>Tarefa</t>
        </is>
      </c>
      <c r="K352" s="62" t="n">
        <v>46043</v>
      </c>
      <c r="L352" s="67" t="inlineStr">
        <is>
          <t xml:space="preserve">Alexia </t>
        </is>
      </c>
      <c r="M352" s="40" t="inlineStr">
        <is>
          <t>Cumprido</t>
        </is>
      </c>
      <c r="N352" s="62" t="n">
        <v>46043</v>
      </c>
      <c r="O352" s="67" t="inlineStr">
        <is>
          <t>Revisão</t>
        </is>
      </c>
    </row>
    <row r="353">
      <c r="A353" s="40" t="inlineStr">
        <is>
          <t>5007152-10.2025.4.04.7204</t>
        </is>
      </c>
      <c r="B353" s="40" t="inlineStr">
        <is>
          <t>Outras</t>
        </is>
      </c>
      <c r="D353" s="67" t="inlineStr">
        <is>
          <t>Renata Francisco Becker</t>
        </is>
      </c>
      <c r="E353" s="62" t="n">
        <v>45876</v>
      </c>
      <c r="F353" s="67" t="inlineStr">
        <is>
          <t>1° VF</t>
        </is>
      </c>
      <c r="I353" s="67" t="inlineStr">
        <is>
          <t>5007675-95.2020.4.04.7204</t>
        </is>
      </c>
      <c r="J353" s="67" t="inlineStr">
        <is>
          <t>Tarefa</t>
        </is>
      </c>
      <c r="K353" s="62" t="n">
        <v>46043</v>
      </c>
      <c r="L353" s="67" t="inlineStr">
        <is>
          <t>Jessica</t>
        </is>
      </c>
      <c r="M353" s="40" t="inlineStr">
        <is>
          <t>Cumprido</t>
        </is>
      </c>
      <c r="N353" s="62" t="n">
        <v>46043</v>
      </c>
      <c r="O353" s="67" t="inlineStr">
        <is>
          <t>Revisão</t>
        </is>
      </c>
    </row>
    <row r="354">
      <c r="A354" s="40" t="inlineStr">
        <is>
          <t>0000563-62.2023.5.12.0055</t>
        </is>
      </c>
      <c r="B354" s="40" t="inlineStr">
        <is>
          <t>Outras</t>
        </is>
      </c>
      <c r="D354" s="67" t="inlineStr">
        <is>
          <t>Pedro Victor</t>
        </is>
      </c>
      <c r="E354" s="62" t="n">
        <v>45517</v>
      </c>
      <c r="F354" s="67" t="inlineStr">
        <is>
          <t>3ª VARA DO TRABALHO DE CRICIÚMA</t>
        </is>
      </c>
      <c r="I354" s="67" t="inlineStr">
        <is>
          <t>5007007-54.2025.8.24.0028</t>
        </is>
      </c>
      <c r="J354" s="67" t="inlineStr">
        <is>
          <t>Tarefa</t>
        </is>
      </c>
      <c r="K354" s="62" t="n">
        <v>46043</v>
      </c>
      <c r="L354" s="67" t="inlineStr">
        <is>
          <t>Renata Francisco Becker</t>
        </is>
      </c>
      <c r="M354" s="40" t="inlineStr">
        <is>
          <t>Cumprido</t>
        </is>
      </c>
      <c r="N354" s="62" t="n">
        <v>46043</v>
      </c>
      <c r="O354" s="67" t="inlineStr">
        <is>
          <t>Revisão</t>
        </is>
      </c>
    </row>
    <row r="355">
      <c r="A355" s="40" t="inlineStr">
        <is>
          <t>5006782-58.2025.8.24.0020</t>
        </is>
      </c>
      <c r="B355" s="40" t="inlineStr">
        <is>
          <t>Outras</t>
        </is>
      </c>
      <c r="D355" s="67" t="inlineStr">
        <is>
          <t>Renata Francisco Becker</t>
        </is>
      </c>
      <c r="E355" s="62" t="n">
        <v>45831</v>
      </c>
      <c r="F355" s="67" t="inlineStr">
        <is>
          <t>Vara Cível</t>
        </is>
      </c>
      <c r="I355" s="67" t="inlineStr"/>
      <c r="J355" s="67" t="inlineStr">
        <is>
          <t>Tarefa</t>
        </is>
      </c>
      <c r="K355" s="62" t="n">
        <v>46043</v>
      </c>
      <c r="L355" s="67" t="inlineStr">
        <is>
          <t>Marelize Controladoria</t>
        </is>
      </c>
      <c r="M355" s="40" t="inlineStr">
        <is>
          <t>Cumprido</t>
        </is>
      </c>
      <c r="N355" s="62" t="n">
        <v>46043</v>
      </c>
      <c r="O355" s="67" t="inlineStr">
        <is>
          <t>Agendar reunião com Renato - Mega Máquinas (falar sobre Carlos Henrique)</t>
        </is>
      </c>
    </row>
    <row r="356">
      <c r="A356" s="40" t="n"/>
      <c r="B356" s="40" t="inlineStr">
        <is>
          <t>Outras</t>
        </is>
      </c>
      <c r="D356" s="67" t="inlineStr">
        <is>
          <t>Marelize Controladoria</t>
        </is>
      </c>
      <c r="E356" s="62" t="n">
        <v>46071</v>
      </c>
      <c r="I356" s="67" t="inlineStr"/>
      <c r="J356" s="67" t="inlineStr">
        <is>
          <t>Tarefa</t>
        </is>
      </c>
      <c r="K356" s="62" t="n">
        <v>46043</v>
      </c>
      <c r="L356" s="67" t="inlineStr">
        <is>
          <t>Julia</t>
        </is>
      </c>
      <c r="M356" s="40" t="inlineStr">
        <is>
          <t>Cumprido</t>
        </is>
      </c>
      <c r="N356" s="62" t="n">
        <v>46043</v>
      </c>
      <c r="O356" s="67" t="inlineStr">
        <is>
          <t>Elaboração</t>
        </is>
      </c>
    </row>
    <row r="357">
      <c r="A357" s="40" t="inlineStr">
        <is>
          <t>0001610-62.2025.5.12.0003</t>
        </is>
      </c>
      <c r="B357" s="40" t="inlineStr">
        <is>
          <t>Outras</t>
        </is>
      </c>
      <c r="D357" s="67" t="inlineStr">
        <is>
          <t>Pedro Victor</t>
        </is>
      </c>
      <c r="E357" s="62" t="n">
        <v>45992</v>
      </c>
      <c r="F357" s="67" t="inlineStr"/>
      <c r="I357" s="67" t="inlineStr"/>
      <c r="J357" s="67" t="inlineStr">
        <is>
          <t>Tarefa</t>
        </is>
      </c>
      <c r="K357" s="62" t="n">
        <v>46043</v>
      </c>
      <c r="L357" s="67" t="inlineStr">
        <is>
          <t>Jessica</t>
        </is>
      </c>
      <c r="M357" s="40" t="inlineStr">
        <is>
          <t>Cumprido</t>
        </is>
      </c>
      <c r="N357" s="62" t="n">
        <v>46043</v>
      </c>
      <c r="O357" s="67" t="inlineStr">
        <is>
          <t>Elaboração de clausula tributária</t>
        </is>
      </c>
    </row>
    <row r="358">
      <c r="A358" s="40" t="n"/>
      <c r="B358" s="40" t="inlineStr">
        <is>
          <t>Outras</t>
        </is>
      </c>
      <c r="D358" s="67" t="inlineStr">
        <is>
          <t>Marelize Controladoria</t>
        </is>
      </c>
      <c r="E358" s="62" t="n">
        <v>46058</v>
      </c>
      <c r="I358" s="67" t="inlineStr"/>
      <c r="J358" s="67" t="inlineStr">
        <is>
          <t>Tarefa</t>
        </is>
      </c>
      <c r="K358" s="62" t="n">
        <v>46043</v>
      </c>
      <c r="L358" s="67" t="inlineStr">
        <is>
          <t>Renata Francisco Becker</t>
        </is>
      </c>
      <c r="M358" s="40" t="inlineStr">
        <is>
          <t>Cumprido</t>
        </is>
      </c>
      <c r="N358" s="62" t="n">
        <v>46043</v>
      </c>
      <c r="O358" s="67" t="inlineStr">
        <is>
          <t xml:space="preserve">Fazer contrato locacao do nosso terreno </t>
        </is>
      </c>
    </row>
    <row r="359">
      <c r="A359" s="40" t="inlineStr">
        <is>
          <t>00001865320235120003</t>
        </is>
      </c>
      <c r="B359" s="40" t="inlineStr">
        <is>
          <t>Outras</t>
        </is>
      </c>
      <c r="D359" s="67" t="inlineStr">
        <is>
          <t>Pedro Victor</t>
        </is>
      </c>
      <c r="E359" s="62" t="n">
        <v>45000</v>
      </c>
      <c r="F359" s="67" t="inlineStr">
        <is>
          <t>1ª VARA DO TRABALHO DE CRICIÚMA</t>
        </is>
      </c>
      <c r="I359" s="67" t="inlineStr">
        <is>
          <t>0001380-58.2025.5.12.0055</t>
        </is>
      </c>
      <c r="J359" s="67" t="inlineStr">
        <is>
          <t>Tarefa</t>
        </is>
      </c>
      <c r="K359" s="62" t="n">
        <v>46043</v>
      </c>
      <c r="L359" s="67" t="inlineStr">
        <is>
          <t>Pedro Victor</t>
        </is>
      </c>
      <c r="M359" s="40" t="inlineStr">
        <is>
          <t>Cumprido</t>
        </is>
      </c>
      <c r="N359" s="62" t="n">
        <v>46043</v>
      </c>
      <c r="O359" s="67" t="inlineStr">
        <is>
          <t xml:space="preserve">Pagamento Galli </t>
        </is>
      </c>
    </row>
    <row r="360">
      <c r="A360" s="40" t="n"/>
      <c r="B360" s="40" t="inlineStr">
        <is>
          <t>Outras</t>
        </is>
      </c>
      <c r="D360" s="67" t="inlineStr">
        <is>
          <t xml:space="preserve">Lucas </t>
        </is>
      </c>
      <c r="E360" s="62" t="n">
        <v>46071</v>
      </c>
      <c r="I360" s="67" t="inlineStr"/>
      <c r="J360" s="67" t="inlineStr">
        <is>
          <t>Tarefa</t>
        </is>
      </c>
      <c r="K360" s="62" t="n">
        <v>46043</v>
      </c>
      <c r="L360" s="67" t="inlineStr">
        <is>
          <t>Julia</t>
        </is>
      </c>
      <c r="M360" s="40" t="inlineStr">
        <is>
          <t>Cumprido</t>
        </is>
      </c>
      <c r="N360" s="62" t="n">
        <v>46043</v>
      </c>
      <c r="O360" s="67" t="inlineStr">
        <is>
          <t>Protocolo</t>
        </is>
      </c>
    </row>
    <row r="361">
      <c r="A361" s="40" t="n"/>
      <c r="B361" s="40" t="inlineStr">
        <is>
          <t>Outras</t>
        </is>
      </c>
      <c r="D361" s="67" t="inlineStr">
        <is>
          <t>Marelize Controladoria</t>
        </is>
      </c>
      <c r="E361" s="62" t="n">
        <v>46083</v>
      </c>
      <c r="I361" s="67" t="inlineStr"/>
      <c r="J361" s="67" t="inlineStr">
        <is>
          <t>Tarefa</t>
        </is>
      </c>
      <c r="K361" s="62" t="n">
        <v>46043</v>
      </c>
      <c r="L361" s="67" t="inlineStr">
        <is>
          <t>Julia</t>
        </is>
      </c>
      <c r="M361" s="40" t="inlineStr">
        <is>
          <t>Cumprido</t>
        </is>
      </c>
      <c r="N361" s="62" t="n">
        <v>46043</v>
      </c>
      <c r="O361" s="67" t="inlineStr">
        <is>
          <t>Revisão</t>
        </is>
      </c>
    </row>
    <row r="362">
      <c r="A362" s="40" t="inlineStr">
        <is>
          <t>0001269-74.2025.5.12.0055</t>
        </is>
      </c>
      <c r="B362" s="40" t="inlineStr">
        <is>
          <t>Outras</t>
        </is>
      </c>
      <c r="D362" s="67" t="inlineStr">
        <is>
          <t>Luci</t>
        </is>
      </c>
      <c r="E362" s="62" t="n">
        <v>45887</v>
      </c>
      <c r="F362" s="67" t="inlineStr">
        <is>
          <t>3ª VARA DO TRABALHO DE CRICIÚMA</t>
        </is>
      </c>
      <c r="I362" s="67" t="inlineStr"/>
      <c r="J362" s="67" t="inlineStr">
        <is>
          <t>Evento</t>
        </is>
      </c>
      <c r="K362" s="62" t="n">
        <v>46043</v>
      </c>
      <c r="L362" s="67" t="inlineStr">
        <is>
          <t>Marelize Controladoria</t>
        </is>
      </c>
      <c r="M362" s="40" t="inlineStr">
        <is>
          <t>Cumprido</t>
        </is>
      </c>
      <c r="N362" s="62" t="n">
        <v>46043</v>
      </c>
      <c r="O362" s="67" t="inlineStr">
        <is>
          <t>Atendimento Ilsa Tessili</t>
        </is>
      </c>
    </row>
    <row r="363">
      <c r="A363" s="40" t="inlineStr">
        <is>
          <t>5002089-79.2025.8.24.0004</t>
        </is>
      </c>
      <c r="B363" s="40" t="inlineStr">
        <is>
          <t>Outras</t>
        </is>
      </c>
      <c r="D363" s="67" t="inlineStr">
        <is>
          <t>Renata Francisco Becker</t>
        </is>
      </c>
      <c r="E363" s="62" t="n">
        <v>45714</v>
      </c>
      <c r="F363" s="67" t="inlineStr">
        <is>
          <t>juizado especial civel</t>
        </is>
      </c>
      <c r="I363" s="67" t="inlineStr">
        <is>
          <t>03063527020158240020</t>
        </is>
      </c>
      <c r="J363" s="67" t="inlineStr">
        <is>
          <t>Evento</t>
        </is>
      </c>
      <c r="K363" s="62" t="n">
        <v>46043</v>
      </c>
      <c r="L363" s="67" t="inlineStr">
        <is>
          <t>Pedro Victor</t>
        </is>
      </c>
      <c r="M363" s="40" t="inlineStr">
        <is>
          <t>Cumprido</t>
        </is>
      </c>
      <c r="N363" s="62" t="n">
        <v>46043</v>
      </c>
      <c r="O363" s="67" t="inlineStr">
        <is>
          <t>Reunião Dr Pedro e Desembargador Eduardo Mattos Gallo Jr.</t>
        </is>
      </c>
    </row>
    <row r="364">
      <c r="A364" s="40" t="inlineStr">
        <is>
          <t>0000198-30.2026.5.12.0046</t>
        </is>
      </c>
      <c r="B364" s="40" t="inlineStr">
        <is>
          <t>Outras</t>
        </is>
      </c>
      <c r="D364" s="67" t="inlineStr">
        <is>
          <t>Renata Francisco Becker</t>
        </is>
      </c>
      <c r="E364" s="62" t="n">
        <v>45985</v>
      </c>
      <c r="F364" s="67" t="inlineStr">
        <is>
          <t>2</t>
        </is>
      </c>
      <c r="I364" s="67" t="inlineStr"/>
      <c r="J364" s="67" t="inlineStr">
        <is>
          <t>Evento</t>
        </is>
      </c>
      <c r="K364" s="62" t="n">
        <v>46043</v>
      </c>
      <c r="L364" s="67" t="inlineStr">
        <is>
          <t>Pedro Victor</t>
        </is>
      </c>
      <c r="M364" s="40" t="inlineStr">
        <is>
          <t>Cumprido</t>
        </is>
      </c>
      <c r="N364" s="62" t="n">
        <v>46043</v>
      </c>
      <c r="O364" s="67" t="inlineStr">
        <is>
          <t xml:space="preserve">reunião </t>
        </is>
      </c>
    </row>
    <row r="365">
      <c r="A365" s="40" t="inlineStr">
        <is>
          <t>5004796-79.2024.8.24.0028</t>
        </is>
      </c>
      <c r="B365" s="40" t="inlineStr">
        <is>
          <t>Outras</t>
        </is>
      </c>
      <c r="D365" s="67" t="inlineStr">
        <is>
          <t>Renata Francisco Becker</t>
        </is>
      </c>
      <c r="E365" s="62" t="n">
        <v>45673</v>
      </c>
      <c r="F365" s="67" t="inlineStr">
        <is>
          <t>Juízo da 1ª Vara Cível da Comarca de Içara</t>
        </is>
      </c>
      <c r="I365" s="67" t="inlineStr"/>
      <c r="J365" s="67" t="inlineStr">
        <is>
          <t>Evento</t>
        </is>
      </c>
      <c r="K365" s="62" t="n">
        <v>46043</v>
      </c>
      <c r="L365" s="67" t="inlineStr">
        <is>
          <t>Pedro Victor</t>
        </is>
      </c>
      <c r="M365" s="40" t="inlineStr">
        <is>
          <t>Cumprido</t>
        </is>
      </c>
      <c r="N365" s="62" t="n">
        <v>46043</v>
      </c>
      <c r="O365" s="67" t="inlineStr">
        <is>
          <t>Reunião CR</t>
        </is>
      </c>
    </row>
    <row r="366">
      <c r="A366" s="40" t="inlineStr">
        <is>
          <t>5023102-23.2024.8.24.0020</t>
        </is>
      </c>
      <c r="B366" s="40" t="inlineStr">
        <is>
          <t>Outras</t>
        </is>
      </c>
      <c r="D366" s="67" t="inlineStr">
        <is>
          <t>Renata Francisco Becker</t>
        </is>
      </c>
      <c r="E366" s="62" t="n">
        <v>45537</v>
      </c>
      <c r="F366" s="67" t="inlineStr">
        <is>
          <t>juizado especial civel</t>
        </is>
      </c>
      <c r="I366" s="67" t="inlineStr"/>
      <c r="J366" s="67" t="inlineStr">
        <is>
          <t>Prazo</t>
        </is>
      </c>
      <c r="K366" s="62" t="n">
        <v>46044</v>
      </c>
      <c r="L366" s="67" t="inlineStr">
        <is>
          <t>Julia</t>
        </is>
      </c>
      <c r="M366" s="40" t="inlineStr">
        <is>
          <t>Cumprido</t>
        </is>
      </c>
      <c r="N366" s="62" t="n">
        <v>46044</v>
      </c>
      <c r="O366" s="67" t="inlineStr">
        <is>
          <t>Alteração do contrato URGENTE</t>
        </is>
      </c>
    </row>
    <row r="367">
      <c r="A367" s="40" t="inlineStr">
        <is>
          <t>0000711-43.2026.8.25.0027</t>
        </is>
      </c>
      <c r="B367" s="40" t="inlineStr">
        <is>
          <t>Outras</t>
        </is>
      </c>
      <c r="D367" s="67" t="inlineStr">
        <is>
          <t>Marelize Controladoria</t>
        </is>
      </c>
      <c r="E367" s="62" t="n">
        <v>46065</v>
      </c>
      <c r="I367" s="67" t="inlineStr"/>
      <c r="J367" s="67" t="inlineStr">
        <is>
          <t>Prazo</t>
        </is>
      </c>
      <c r="K367" s="62" t="n">
        <v>46044</v>
      </c>
      <c r="L367" s="67" t="inlineStr">
        <is>
          <t>Pedro Victor</t>
        </is>
      </c>
      <c r="M367" s="40" t="inlineStr">
        <is>
          <t>Cumprido</t>
        </is>
      </c>
      <c r="N367" s="62" t="n">
        <v>46044</v>
      </c>
      <c r="O367" s="67" t="inlineStr">
        <is>
          <t xml:space="preserve"> Anlise de integralização de terrenos na prefeitura</t>
        </is>
      </c>
    </row>
    <row r="368">
      <c r="A368" s="40" t="inlineStr">
        <is>
          <t>5012163-30.2019.4.04.7204</t>
        </is>
      </c>
      <c r="B368" s="40" t="inlineStr">
        <is>
          <t>Outras</t>
        </is>
      </c>
      <c r="D368" s="67" t="inlineStr">
        <is>
          <t>Renata Francisco Becker</t>
        </is>
      </c>
      <c r="E368" s="62" t="n">
        <v>44719</v>
      </c>
      <c r="F368" s="67" t="inlineStr">
        <is>
          <t>Juízo Substituto da 4ª VF de Criciúma</t>
        </is>
      </c>
      <c r="I368" s="67" t="inlineStr">
        <is>
          <t>5022996-32.2022.8.24.0020</t>
        </is>
      </c>
      <c r="J368" s="67" t="inlineStr">
        <is>
          <t>Prazo</t>
        </is>
      </c>
      <c r="K368" s="62" t="n">
        <v>46044</v>
      </c>
      <c r="L368" s="67" t="inlineStr">
        <is>
          <t xml:space="preserve">Alexia </t>
        </is>
      </c>
      <c r="M368" s="40" t="inlineStr">
        <is>
          <t>Cumprido</t>
        </is>
      </c>
      <c r="N368" s="62" t="n">
        <v>46044</v>
      </c>
      <c r="O368" s="67" t="inlineStr">
        <is>
          <t>CUMPRIMENTO DE SENTENÇA</t>
        </is>
      </c>
    </row>
    <row r="369">
      <c r="A369" s="40" t="n"/>
      <c r="B369" s="40" t="inlineStr">
        <is>
          <t>Outras</t>
        </is>
      </c>
      <c r="D369" s="67" t="inlineStr">
        <is>
          <t>Marelize Controladoria</t>
        </is>
      </c>
      <c r="E369" s="62" t="n">
        <v>46044</v>
      </c>
      <c r="I369" s="67" t="inlineStr"/>
      <c r="J369" s="67" t="inlineStr">
        <is>
          <t>Prazo</t>
        </is>
      </c>
      <c r="K369" s="62" t="n">
        <v>46044</v>
      </c>
      <c r="L369" s="67" t="inlineStr">
        <is>
          <t>Julia</t>
        </is>
      </c>
      <c r="M369" s="40" t="inlineStr">
        <is>
          <t>Cumprido</t>
        </is>
      </c>
      <c r="N369" s="62" t="n">
        <v>46044</v>
      </c>
      <c r="O369" s="67" t="inlineStr">
        <is>
          <t>Elaboração de contrato Valnir Rarissima</t>
        </is>
      </c>
    </row>
    <row r="370">
      <c r="A370" s="40" t="inlineStr">
        <is>
          <t>50501.128239/2026-18</t>
        </is>
      </c>
      <c r="B370" s="40" t="inlineStr">
        <is>
          <t>Outras</t>
        </is>
      </c>
      <c r="D370" s="67" t="inlineStr">
        <is>
          <t>Marelize Controladoria</t>
        </is>
      </c>
      <c r="E370" s="62" t="n">
        <v>46059</v>
      </c>
      <c r="I370" s="67" t="inlineStr">
        <is>
          <t>00001865320235120003</t>
        </is>
      </c>
      <c r="J370" s="67" t="inlineStr">
        <is>
          <t>Prazo</t>
        </is>
      </c>
      <c r="K370" s="62" t="n">
        <v>46044</v>
      </c>
      <c r="L370" s="67" t="inlineStr">
        <is>
          <t>Pedro Victor</t>
        </is>
      </c>
      <c r="M370" s="40" t="inlineStr">
        <is>
          <t>Cumprido</t>
        </is>
      </c>
      <c r="N370" s="62" t="n">
        <v>46044</v>
      </c>
      <c r="O370" s="67" t="inlineStr">
        <is>
          <t>FÁBIO SEMBAY - 28/01/2026</t>
        </is>
      </c>
    </row>
    <row r="371">
      <c r="A371" s="40" t="inlineStr">
        <is>
          <t>5001254-91.2026.8.24.0025</t>
        </is>
      </c>
      <c r="B371" s="40" t="inlineStr">
        <is>
          <t>Outras</t>
        </is>
      </c>
      <c r="D371" s="67" t="inlineStr">
        <is>
          <t>Marelize Controladoria</t>
        </is>
      </c>
      <c r="E371" s="62" t="n">
        <v>46079</v>
      </c>
      <c r="F371" s="67" t="inlineStr">
        <is>
          <t>Juízo da 1ª Vara Cível da Comarca de Gaspar</t>
        </is>
      </c>
      <c r="I371" s="67" t="inlineStr">
        <is>
          <t>0010142-48.2025.5.15.0033</t>
        </is>
      </c>
      <c r="J371" s="67" t="inlineStr">
        <is>
          <t>Prazo</t>
        </is>
      </c>
      <c r="K371" s="62" t="n">
        <v>46044</v>
      </c>
      <c r="L371" s="67" t="inlineStr">
        <is>
          <t>Luci</t>
        </is>
      </c>
      <c r="M371" s="40" t="inlineStr">
        <is>
          <t>Cumprido</t>
        </is>
      </c>
      <c r="N371" s="62" t="n">
        <v>46044</v>
      </c>
      <c r="O371" s="67" t="inlineStr">
        <is>
          <t>Prazo</t>
        </is>
      </c>
    </row>
    <row r="372">
      <c r="A372" s="40" t="n"/>
      <c r="B372" s="40" t="inlineStr">
        <is>
          <t>Outras</t>
        </is>
      </c>
      <c r="D372" s="67" t="inlineStr">
        <is>
          <t>Marelize Controladoria</t>
        </is>
      </c>
      <c r="E372" s="62" t="n">
        <v>46076</v>
      </c>
      <c r="I372" s="67" t="inlineStr">
        <is>
          <t>0001725-11.2025.5.12.0027</t>
        </is>
      </c>
      <c r="J372" s="67" t="inlineStr">
        <is>
          <t>Prazo</t>
        </is>
      </c>
      <c r="K372" s="62" t="n">
        <v>46044</v>
      </c>
      <c r="L372" s="67" t="inlineStr">
        <is>
          <t>Luci</t>
        </is>
      </c>
      <c r="M372" s="40" t="inlineStr">
        <is>
          <t>Cumprido</t>
        </is>
      </c>
      <c r="N372" s="62" t="n">
        <v>46044</v>
      </c>
      <c r="O372" s="67" t="inlineStr">
        <is>
          <t>Prazo</t>
        </is>
      </c>
    </row>
    <row r="373">
      <c r="A373" s="40" t="n"/>
      <c r="B373" s="40" t="inlineStr">
        <is>
          <t>Outras</t>
        </is>
      </c>
      <c r="D373" s="67" t="inlineStr">
        <is>
          <t>Renata Francisco Becker</t>
        </is>
      </c>
      <c r="E373" s="62" t="n">
        <v>45880</v>
      </c>
      <c r="I373" s="67" t="inlineStr">
        <is>
          <t>0001360-54.2025.5.12.0027</t>
        </is>
      </c>
      <c r="J373" s="67" t="inlineStr">
        <is>
          <t>Prazo</t>
        </is>
      </c>
      <c r="K373" s="62" t="n">
        <v>46044</v>
      </c>
      <c r="L373" s="67" t="inlineStr">
        <is>
          <t>Luci</t>
        </is>
      </c>
      <c r="M373" s="40" t="inlineStr">
        <is>
          <t>Cumprido</t>
        </is>
      </c>
      <c r="N373" s="62" t="n">
        <v>46044</v>
      </c>
      <c r="O373" s="67" t="inlineStr">
        <is>
          <t>Prazo</t>
        </is>
      </c>
    </row>
    <row r="374">
      <c r="A374" s="40" t="inlineStr">
        <is>
          <t>0001725-11.2025.5.12.0027</t>
        </is>
      </c>
      <c r="B374" s="40" t="inlineStr">
        <is>
          <t>Outras</t>
        </is>
      </c>
      <c r="D374" s="67" t="inlineStr">
        <is>
          <t>Pedro Victor</t>
        </is>
      </c>
      <c r="E374" s="62" t="n">
        <v>45989</v>
      </c>
      <c r="F374" s="67" t="inlineStr">
        <is>
          <t>2ª VARA DO TRABALHO DE CRICIÚMA</t>
        </is>
      </c>
      <c r="I374" s="67" t="inlineStr">
        <is>
          <t>50142582320254047204</t>
        </is>
      </c>
      <c r="J374" s="67" t="inlineStr">
        <is>
          <t>Prazo</t>
        </is>
      </c>
      <c r="K374" s="62" t="n">
        <v>46044</v>
      </c>
      <c r="L374" s="67" t="inlineStr">
        <is>
          <t>Jessica</t>
        </is>
      </c>
      <c r="M374" s="40" t="inlineStr">
        <is>
          <t>Cumprido</t>
        </is>
      </c>
      <c r="N374" s="62" t="n">
        <v>46044</v>
      </c>
      <c r="O374" s="67" t="inlineStr">
        <is>
          <t>Prazo - Não Concedida a Medida Liminar</t>
        </is>
      </c>
    </row>
    <row r="375">
      <c r="A375" s="40" t="inlineStr">
        <is>
          <t>5000680-65.2026.8.24.0026</t>
        </is>
      </c>
      <c r="B375" s="40" t="inlineStr">
        <is>
          <t>Outras</t>
        </is>
      </c>
      <c r="D375" s="67" t="inlineStr">
        <is>
          <t>Marelize Controladoria</t>
        </is>
      </c>
      <c r="E375" s="62" t="n">
        <v>46059</v>
      </c>
      <c r="F375" s="67" t="inlineStr">
        <is>
          <t>Juízo da 2ª Vara Cível da Comarca de Guaramirim</t>
        </is>
      </c>
      <c r="I375" s="67" t="inlineStr">
        <is>
          <t>0000223-37.2025.5.12.0027</t>
        </is>
      </c>
      <c r="J375" s="67" t="inlineStr">
        <is>
          <t>Prazo</t>
        </is>
      </c>
      <c r="K375" s="62" t="n">
        <v>46044</v>
      </c>
      <c r="L375" s="67" t="inlineStr">
        <is>
          <t>Luci</t>
        </is>
      </c>
      <c r="M375" s="40" t="inlineStr">
        <is>
          <t>Cumprido</t>
        </is>
      </c>
      <c r="N375" s="62" t="n">
        <v>46044</v>
      </c>
      <c r="O375" s="67" t="inlineStr">
        <is>
          <t>Prazo custas</t>
        </is>
      </c>
    </row>
    <row r="376">
      <c r="A376" s="40" t="inlineStr">
        <is>
          <t>5011264-98.2026.8.24.0930</t>
        </is>
      </c>
      <c r="B376" s="40" t="inlineStr">
        <is>
          <t>Outras</t>
        </is>
      </c>
      <c r="D376" s="67" t="inlineStr">
        <is>
          <t>Marelize Controladoria</t>
        </is>
      </c>
      <c r="E376" s="62" t="n">
        <v>46051</v>
      </c>
      <c r="F376" s="67" t="inlineStr">
        <is>
          <t>2º Juízo da Vara Estadual de Direito Bancário</t>
        </is>
      </c>
      <c r="I376" s="67" t="inlineStr">
        <is>
          <t>5020941-06.2025.8.24.0020</t>
        </is>
      </c>
      <c r="J376" s="67" t="inlineStr">
        <is>
          <t>Prazo</t>
        </is>
      </c>
      <c r="K376" s="62" t="n">
        <v>46044</v>
      </c>
      <c r="L376" s="67" t="inlineStr">
        <is>
          <t>Renata Francisco Becker</t>
        </is>
      </c>
      <c r="M376" s="40" t="inlineStr">
        <is>
          <t>Cumprido</t>
        </is>
      </c>
      <c r="N376" s="62" t="n">
        <v>46044</v>
      </c>
      <c r="O376" s="67" t="inlineStr">
        <is>
          <t>prazo hom</t>
        </is>
      </c>
    </row>
    <row r="377">
      <c r="A377" s="40" t="inlineStr">
        <is>
          <t>5002240-90.2023.8.24.0044</t>
        </is>
      </c>
      <c r="B377" s="40" t="inlineStr">
        <is>
          <t>Outras</t>
        </is>
      </c>
      <c r="D377" s="67" t="inlineStr">
        <is>
          <t>Renata Francisco Becker</t>
        </is>
      </c>
      <c r="E377" s="62" t="n">
        <v>45845</v>
      </c>
      <c r="F377" s="67" t="inlineStr"/>
      <c r="I377" s="67" t="inlineStr">
        <is>
          <t>5011984-50.2024.8.24.0020</t>
        </is>
      </c>
      <c r="J377" s="67" t="inlineStr">
        <is>
          <t>Prazo</t>
        </is>
      </c>
      <c r="K377" s="62" t="n">
        <v>46044</v>
      </c>
      <c r="L377" s="67" t="inlineStr">
        <is>
          <t xml:space="preserve">Alexia </t>
        </is>
      </c>
      <c r="M377" s="40" t="inlineStr">
        <is>
          <t>Cumprido</t>
        </is>
      </c>
      <c r="N377" s="62" t="n">
        <v>46044</v>
      </c>
      <c r="O377" s="67" t="inlineStr">
        <is>
          <t>Prazo pizza</t>
        </is>
      </c>
    </row>
    <row r="378">
      <c r="A378" s="40" t="inlineStr">
        <is>
          <t>5010413-80.2025.4.04.7204</t>
        </is>
      </c>
      <c r="B378" s="40" t="inlineStr">
        <is>
          <t>Outras</t>
        </is>
      </c>
      <c r="D378" s="67" t="inlineStr">
        <is>
          <t>Renata Francisco Becker</t>
        </is>
      </c>
      <c r="E378" s="62" t="n">
        <v>45923</v>
      </c>
      <c r="F378" s="67" t="inlineStr">
        <is>
          <t>Vara Federal</t>
        </is>
      </c>
      <c r="I378" s="67" t="inlineStr">
        <is>
          <t>5059459-33.2022.8.24.0000</t>
        </is>
      </c>
      <c r="J378" s="67" t="inlineStr">
        <is>
          <t>Prazo</t>
        </is>
      </c>
      <c r="K378" s="62" t="n">
        <v>46044</v>
      </c>
      <c r="L378" s="67" t="inlineStr">
        <is>
          <t>Renata Francisco Becker</t>
        </is>
      </c>
      <c r="M378" s="40" t="inlineStr">
        <is>
          <t>Cumprido</t>
        </is>
      </c>
      <c r="N378" s="62" t="n">
        <v>46044</v>
      </c>
      <c r="O378" s="67" t="inlineStr">
        <is>
          <t>prazo preca</t>
        </is>
      </c>
    </row>
    <row r="379">
      <c r="A379" s="40" t="inlineStr">
        <is>
          <t>5000548-86.2025.8.24.0076</t>
        </is>
      </c>
      <c r="B379" s="40" t="inlineStr">
        <is>
          <t>Outras</t>
        </is>
      </c>
      <c r="D379" s="67" t="inlineStr">
        <is>
          <t>Renata Francisco Becker</t>
        </is>
      </c>
      <c r="E379" s="62" t="n">
        <v>45728</v>
      </c>
      <c r="F379" s="67" t="inlineStr">
        <is>
          <t>Juizo da vara unica</t>
        </is>
      </c>
      <c r="I379" s="67" t="inlineStr">
        <is>
          <t>50142426920254047204</t>
        </is>
      </c>
      <c r="J379" s="67" t="inlineStr">
        <is>
          <t>Prazo</t>
        </is>
      </c>
      <c r="K379" s="62" t="n">
        <v>46044</v>
      </c>
      <c r="L379" s="67" t="inlineStr">
        <is>
          <t>Jessica</t>
        </is>
      </c>
      <c r="M379" s="40" t="inlineStr">
        <is>
          <t>Cumprido</t>
        </is>
      </c>
      <c r="N379" s="62" t="n">
        <v>46044</v>
      </c>
      <c r="O379" s="67" t="inlineStr">
        <is>
          <t>Prazo Sentença</t>
        </is>
      </c>
    </row>
    <row r="380">
      <c r="A380" s="40" t="n"/>
      <c r="B380" s="40" t="inlineStr">
        <is>
          <t>Outras</t>
        </is>
      </c>
      <c r="D380" s="67" t="inlineStr">
        <is>
          <t>Marelize Controladoria</t>
        </is>
      </c>
      <c r="E380" s="62" t="n">
        <v>46070</v>
      </c>
      <c r="I380" s="67" t="inlineStr">
        <is>
          <t>50380204920254040000</t>
        </is>
      </c>
      <c r="J380" s="67" t="inlineStr">
        <is>
          <t>Prazo</t>
        </is>
      </c>
      <c r="K380" s="62" t="n">
        <v>46044</v>
      </c>
      <c r="L380" s="67" t="inlineStr">
        <is>
          <t>Jessica</t>
        </is>
      </c>
      <c r="M380" s="40" t="inlineStr">
        <is>
          <t>Cumprido</t>
        </is>
      </c>
      <c r="N380" s="62" t="n">
        <v>46044</v>
      </c>
      <c r="O380" s="67" t="inlineStr">
        <is>
          <t>Prazo Tributário</t>
        </is>
      </c>
    </row>
    <row r="381">
      <c r="A381" s="40" t="n"/>
      <c r="B381" s="40" t="inlineStr">
        <is>
          <t>Outras</t>
        </is>
      </c>
      <c r="D381" s="67" t="inlineStr">
        <is>
          <t>Renata Francisco Becker</t>
        </is>
      </c>
      <c r="E381" s="62" t="n">
        <v>45930</v>
      </c>
      <c r="I381" s="67" t="inlineStr">
        <is>
          <t>0003005-61.2025.8.16.0154</t>
        </is>
      </c>
      <c r="J381" s="67" t="inlineStr">
        <is>
          <t>Prazo</t>
        </is>
      </c>
      <c r="K381" s="62" t="n">
        <v>46044</v>
      </c>
      <c r="L381" s="67" t="inlineStr">
        <is>
          <t xml:space="preserve">Alexia </t>
        </is>
      </c>
      <c r="M381" s="40" t="inlineStr">
        <is>
          <t>Cumprido</t>
        </is>
      </c>
      <c r="N381" s="62" t="n">
        <v>46044</v>
      </c>
      <c r="O381" s="67" t="inlineStr">
        <is>
          <t>Prazo URGENTE</t>
        </is>
      </c>
    </row>
    <row r="382">
      <c r="A382" s="40" t="inlineStr">
        <is>
          <t>5008160-56.2024.4.04.7204</t>
        </is>
      </c>
      <c r="B382" s="40" t="inlineStr">
        <is>
          <t>Outras</t>
        </is>
      </c>
      <c r="D382" s="67" t="inlineStr">
        <is>
          <t>Renata Francisco Becker</t>
        </is>
      </c>
      <c r="E382" s="62" t="n">
        <v>45889</v>
      </c>
      <c r="F382" s="67" t="inlineStr">
        <is>
          <t>4° VF</t>
        </is>
      </c>
      <c r="I382" s="67" t="inlineStr">
        <is>
          <t>5029854-74.2025.8.24.0020</t>
        </is>
      </c>
      <c r="J382" s="67" t="inlineStr">
        <is>
          <t>Prazo</t>
        </is>
      </c>
      <c r="K382" s="62" t="n">
        <v>46044</v>
      </c>
      <c r="L382" s="67" t="inlineStr">
        <is>
          <t>Julia</t>
        </is>
      </c>
      <c r="M382" s="40" t="inlineStr">
        <is>
          <t>Cumprido</t>
        </is>
      </c>
      <c r="N382" s="62" t="n">
        <v>46044</v>
      </c>
      <c r="O382" s="67" t="inlineStr">
        <is>
          <t>Retorno cliente Ivete</t>
        </is>
      </c>
    </row>
    <row r="383">
      <c r="A383" s="40" t="inlineStr">
        <is>
          <t>5012213-49.2020.8.24.0020</t>
        </is>
      </c>
      <c r="B383" s="40" t="inlineStr">
        <is>
          <t>Outras</t>
        </is>
      </c>
      <c r="D383" s="67" t="inlineStr">
        <is>
          <t>Marelize Controladoria</t>
        </is>
      </c>
      <c r="E383" s="62" t="n">
        <v>46071</v>
      </c>
      <c r="F383" s="67" t="inlineStr">
        <is>
          <t>Juízo da Vara da Família da Comarca de Criciúma</t>
        </is>
      </c>
      <c r="I383" s="67" t="inlineStr">
        <is>
          <t>5023319-32.2025.8.24.0020</t>
        </is>
      </c>
      <c r="J383" s="67" t="inlineStr">
        <is>
          <t>Prazo</t>
        </is>
      </c>
      <c r="K383" s="62" t="n">
        <v>46044</v>
      </c>
      <c r="L383" s="67" t="inlineStr">
        <is>
          <t>Marelize Controladoria</t>
        </is>
      </c>
      <c r="M383" s="40" t="inlineStr">
        <is>
          <t>Cumprido</t>
        </is>
      </c>
      <c r="N383" s="62" t="n">
        <v>46044</v>
      </c>
      <c r="O383" s="67" t="inlineStr">
        <is>
          <t>VER AUDIENCIA URGENTE</t>
        </is>
      </c>
    </row>
    <row r="384">
      <c r="A384" s="40" t="inlineStr">
        <is>
          <t>5260623-93.2023.8.21.0001</t>
        </is>
      </c>
      <c r="B384" s="40" t="inlineStr">
        <is>
          <t>Outras</t>
        </is>
      </c>
      <c r="D384" s="67" t="inlineStr">
        <is>
          <t>Renata Francisco Becker</t>
        </is>
      </c>
      <c r="E384" s="62" t="n">
        <v>45915</v>
      </c>
      <c r="F384" s="67" t="inlineStr">
        <is>
          <t>Vara de Família</t>
        </is>
      </c>
      <c r="I384" s="67" t="inlineStr"/>
      <c r="J384" s="67" t="inlineStr">
        <is>
          <t>Evento</t>
        </is>
      </c>
      <c r="K384" s="62" t="n">
        <v>46044</v>
      </c>
      <c r="L384" s="67" t="inlineStr">
        <is>
          <t>Pedro Victor</t>
        </is>
      </c>
      <c r="M384" s="40" t="inlineStr">
        <is>
          <t>Cumprido</t>
        </is>
      </c>
      <c r="N384" s="62" t="n">
        <v>46044</v>
      </c>
      <c r="O384" s="67" t="inlineStr">
        <is>
          <t>orçamento criminal Back/Pedro/Goncho</t>
        </is>
      </c>
    </row>
    <row r="385">
      <c r="A385" s="40" t="inlineStr">
        <is>
          <t>5090207-37.2023.8.24.0930</t>
        </is>
      </c>
      <c r="B385" s="40" t="inlineStr">
        <is>
          <t>Outras</t>
        </is>
      </c>
      <c r="D385" s="67" t="inlineStr">
        <is>
          <t>Renata Francisco Becker</t>
        </is>
      </c>
      <c r="E385" s="62" t="n">
        <v>45520</v>
      </c>
      <c r="F385" s="67" t="inlineStr">
        <is>
          <t>14º Juízo da Unidade Estadual de Direito Bancário</t>
        </is>
      </c>
      <c r="I385" s="67" t="inlineStr">
        <is>
          <t>0001380-58.2025.5.12.0055</t>
        </is>
      </c>
      <c r="J385" s="67" t="inlineStr">
        <is>
          <t>Tarefa</t>
        </is>
      </c>
      <c r="K385" s="62" t="n">
        <v>46044</v>
      </c>
      <c r="L385" s="67" t="inlineStr">
        <is>
          <t>Luci</t>
        </is>
      </c>
      <c r="M385" s="40" t="inlineStr">
        <is>
          <t>Cumprido</t>
        </is>
      </c>
      <c r="N385" s="62" t="n">
        <v>46044</v>
      </c>
      <c r="O385" s="67" t="inlineStr">
        <is>
          <t>Elaboração</t>
        </is>
      </c>
    </row>
    <row r="386">
      <c r="A386" s="40" t="inlineStr">
        <is>
          <t>5003333-77.2025.4.04.7200</t>
        </is>
      </c>
      <c r="B386" s="40" t="inlineStr">
        <is>
          <t>Outras</t>
        </is>
      </c>
      <c r="D386" s="67" t="inlineStr">
        <is>
          <t>Pedro Victor</t>
        </is>
      </c>
      <c r="E386" s="62" t="n">
        <v>45729</v>
      </c>
      <c r="F386" s="67" t="inlineStr">
        <is>
          <t>Juízo Substituto da 3ª Unidade de Apoio em Execução Fiscal (PRCTB19)</t>
        </is>
      </c>
      <c r="I386" s="67" t="inlineStr">
        <is>
          <t>0001360-54.2025.5.12.0027</t>
        </is>
      </c>
      <c r="J386" s="67" t="inlineStr">
        <is>
          <t>Tarefa</t>
        </is>
      </c>
      <c r="K386" s="62" t="n">
        <v>46044</v>
      </c>
      <c r="L386" s="67" t="inlineStr">
        <is>
          <t>Luci</t>
        </is>
      </c>
      <c r="M386" s="40" t="inlineStr">
        <is>
          <t>Cumprido</t>
        </is>
      </c>
      <c r="N386" s="62" t="n">
        <v>46044</v>
      </c>
      <c r="O386" s="67" t="inlineStr">
        <is>
          <t>Elaboração</t>
        </is>
      </c>
    </row>
    <row r="387">
      <c r="A387" s="40" t="inlineStr">
        <is>
          <t>50047860320224047204</t>
        </is>
      </c>
      <c r="B387" s="40" t="inlineStr">
        <is>
          <t>Outras</t>
        </is>
      </c>
      <c r="D387" s="67" t="inlineStr">
        <is>
          <t>Pedro Victor</t>
        </is>
      </c>
      <c r="E387" s="62" t="n">
        <v>44734</v>
      </c>
      <c r="F387" s="67" t="inlineStr">
        <is>
          <t>Juízo Federal da 2ª VF de Criciúma</t>
        </is>
      </c>
      <c r="I387" s="67" t="inlineStr">
        <is>
          <t>0003005-61.2025.8.16.0154</t>
        </is>
      </c>
      <c r="J387" s="67" t="inlineStr">
        <is>
          <t>Tarefa</t>
        </is>
      </c>
      <c r="K387" s="62" t="n">
        <v>46044</v>
      </c>
      <c r="L387" s="67" t="inlineStr">
        <is>
          <t xml:space="preserve">Alexia </t>
        </is>
      </c>
      <c r="M387" s="40" t="inlineStr">
        <is>
          <t>Cumprido</t>
        </is>
      </c>
      <c r="N387" s="62" t="n">
        <v>46044</v>
      </c>
      <c r="O387" s="67" t="inlineStr">
        <is>
          <t>Elaboração</t>
        </is>
      </c>
    </row>
    <row r="388">
      <c r="A388" s="40" t="inlineStr">
        <is>
          <t>5012345-16.2019.4.04.7204</t>
        </is>
      </c>
      <c r="B388" s="40" t="inlineStr">
        <is>
          <t>Outras</t>
        </is>
      </c>
      <c r="D388" s="67" t="inlineStr">
        <is>
          <t>Renata Francisco Becker</t>
        </is>
      </c>
      <c r="E388" s="62" t="n">
        <v>44719</v>
      </c>
      <c r="F388" s="67" t="inlineStr">
        <is>
          <t>Juízo Federal da 4ª VF de Criciúma</t>
        </is>
      </c>
      <c r="I388" s="67" t="inlineStr">
        <is>
          <t>50380204920254040000</t>
        </is>
      </c>
      <c r="J388" s="67" t="inlineStr">
        <is>
          <t>Tarefa</t>
        </is>
      </c>
      <c r="K388" s="62" t="n">
        <v>46044</v>
      </c>
      <c r="L388" s="67" t="inlineStr">
        <is>
          <t>Jessica</t>
        </is>
      </c>
      <c r="M388" s="40" t="inlineStr">
        <is>
          <t>Cumprido</t>
        </is>
      </c>
      <c r="N388" s="62" t="n">
        <v>46044</v>
      </c>
      <c r="O388" s="67" t="inlineStr">
        <is>
          <t>Elaboração</t>
        </is>
      </c>
    </row>
    <row r="389">
      <c r="A389" s="40" t="inlineStr">
        <is>
          <t>5010650-90.2020.4.04.7204</t>
        </is>
      </c>
      <c r="B389" s="40" t="inlineStr">
        <is>
          <t>Outras</t>
        </is>
      </c>
      <c r="D389" s="67" t="inlineStr">
        <is>
          <t>Renata Francisco Becker</t>
        </is>
      </c>
      <c r="E389" s="62" t="n">
        <v>44725</v>
      </c>
      <c r="F389" s="67" t="inlineStr">
        <is>
          <t>Juízo Substituto da 4ª VF de Criciúma</t>
        </is>
      </c>
      <c r="I389" s="67" t="inlineStr">
        <is>
          <t>5022996-32.2022.8.24.0020</t>
        </is>
      </c>
      <c r="J389" s="67" t="inlineStr">
        <is>
          <t>Tarefa</t>
        </is>
      </c>
      <c r="K389" s="62" t="n">
        <v>46044</v>
      </c>
      <c r="L389" s="67" t="inlineStr">
        <is>
          <t xml:space="preserve">Alexia </t>
        </is>
      </c>
      <c r="M389" s="40" t="inlineStr">
        <is>
          <t>Cumprido</t>
        </is>
      </c>
      <c r="N389" s="62" t="n">
        <v>46044</v>
      </c>
      <c r="O389" s="67" t="inlineStr">
        <is>
          <t>Elaboração</t>
        </is>
      </c>
    </row>
    <row r="390">
      <c r="A390" s="40" t="inlineStr">
        <is>
          <t>5008480-19.2018.4.04.7204</t>
        </is>
      </c>
      <c r="B390" s="40" t="inlineStr">
        <is>
          <t>Outras</t>
        </is>
      </c>
      <c r="D390" s="67" t="inlineStr">
        <is>
          <t>Renata Francisco Becker</t>
        </is>
      </c>
      <c r="E390" s="62" t="n">
        <v>44707</v>
      </c>
      <c r="F390" s="67" t="inlineStr">
        <is>
          <t>Juízo Federal da 4ª VF de Criciúma</t>
        </is>
      </c>
      <c r="I390" s="67" t="inlineStr">
        <is>
          <t>0000223-37.2025.5.12.0027</t>
        </is>
      </c>
      <c r="J390" s="67" t="inlineStr">
        <is>
          <t>Tarefa</t>
        </is>
      </c>
      <c r="K390" s="62" t="n">
        <v>46044</v>
      </c>
      <c r="L390" s="67" t="inlineStr">
        <is>
          <t>Luci</t>
        </is>
      </c>
      <c r="M390" s="40" t="inlineStr">
        <is>
          <t>Cumprido</t>
        </is>
      </c>
      <c r="N390" s="62" t="n">
        <v>46044</v>
      </c>
      <c r="O390" s="67" t="inlineStr">
        <is>
          <t>Elaboração</t>
        </is>
      </c>
    </row>
    <row r="391">
      <c r="A391" s="40" t="inlineStr">
        <is>
          <t>5012274-14.2019.4.04.7204</t>
        </is>
      </c>
      <c r="B391" s="40" t="inlineStr">
        <is>
          <t>Outras</t>
        </is>
      </c>
      <c r="D391" s="67" t="inlineStr">
        <is>
          <t>Renata Francisco Becker</t>
        </is>
      </c>
      <c r="E391" s="62" t="n">
        <v>44707</v>
      </c>
      <c r="F391" s="67" t="inlineStr">
        <is>
          <t>Juízo Federal da 1ª VF de Tubarão</t>
        </is>
      </c>
      <c r="I391" s="67" t="inlineStr">
        <is>
          <t>0001725-11.2025.5.12.0027</t>
        </is>
      </c>
      <c r="J391" s="67" t="inlineStr">
        <is>
          <t>Tarefa</t>
        </is>
      </c>
      <c r="K391" s="62" t="n">
        <v>46044</v>
      </c>
      <c r="L391" s="67" t="inlineStr">
        <is>
          <t>Luci</t>
        </is>
      </c>
      <c r="M391" s="40" t="inlineStr">
        <is>
          <t>Cumprido</t>
        </is>
      </c>
      <c r="N391" s="62" t="n">
        <v>46044</v>
      </c>
      <c r="O391" s="67" t="inlineStr">
        <is>
          <t>Elaboração</t>
        </is>
      </c>
    </row>
    <row r="392">
      <c r="A392" s="40" t="inlineStr">
        <is>
          <t>5012955-98.2025.8.24.0020</t>
        </is>
      </c>
      <c r="B392" s="40" t="inlineStr">
        <is>
          <t>Outras</t>
        </is>
      </c>
      <c r="D392" s="67" t="inlineStr">
        <is>
          <t>Renata Francisco Becker</t>
        </is>
      </c>
      <c r="E392" s="62" t="n">
        <v>45811</v>
      </c>
      <c r="F392" s="67" t="inlineStr">
        <is>
          <t>juizado especial civel</t>
        </is>
      </c>
      <c r="I392" s="67" t="inlineStr">
        <is>
          <t>5011984-50.2024.8.24.0020</t>
        </is>
      </c>
      <c r="J392" s="67" t="inlineStr">
        <is>
          <t>Tarefa</t>
        </is>
      </c>
      <c r="K392" s="62" t="n">
        <v>46044</v>
      </c>
      <c r="L392" s="67" t="inlineStr">
        <is>
          <t xml:space="preserve">Alexia </t>
        </is>
      </c>
      <c r="M392" s="40" t="inlineStr">
        <is>
          <t>Cumprido</t>
        </is>
      </c>
      <c r="N392" s="62" t="n">
        <v>46044</v>
      </c>
      <c r="O392" s="67" t="inlineStr">
        <is>
          <t>Elaboração</t>
        </is>
      </c>
    </row>
    <row r="393">
      <c r="A393" s="40" t="inlineStr">
        <is>
          <t>5006213-74.2018.4.04.7204</t>
        </is>
      </c>
      <c r="B393" s="40" t="inlineStr">
        <is>
          <t>Outras</t>
        </is>
      </c>
      <c r="D393" s="67" t="inlineStr">
        <is>
          <t>Renata Francisco Becker</t>
        </is>
      </c>
      <c r="E393" s="62" t="n">
        <v>44719</v>
      </c>
      <c r="F393" s="67" t="inlineStr">
        <is>
          <t>Juízo Federal da 4ª VF de Criciúma</t>
        </is>
      </c>
      <c r="I393" s="67" t="inlineStr">
        <is>
          <t>00001865320235120003</t>
        </is>
      </c>
      <c r="J393" s="67" t="inlineStr">
        <is>
          <t>Tarefa</t>
        </is>
      </c>
      <c r="K393" s="62" t="n">
        <v>46044</v>
      </c>
      <c r="L393" s="67" t="inlineStr">
        <is>
          <t>Luci</t>
        </is>
      </c>
      <c r="M393" s="40" t="inlineStr">
        <is>
          <t>Cumprido</t>
        </is>
      </c>
      <c r="N393" s="62" t="n">
        <v>46044</v>
      </c>
      <c r="O393" s="67" t="inlineStr">
        <is>
          <t>Elaboração</t>
        </is>
      </c>
    </row>
    <row r="394">
      <c r="A394" s="40" t="inlineStr">
        <is>
          <t>5040768-85.2025.4.04.7200</t>
        </is>
      </c>
      <c r="B394" s="40" t="inlineStr">
        <is>
          <t>Outras</t>
        </is>
      </c>
      <c r="D394" s="67" t="inlineStr">
        <is>
          <t>Renata Francisco Becker</t>
        </is>
      </c>
      <c r="E394" s="62" t="n">
        <v>45980</v>
      </c>
      <c r="F394" s="67" t="inlineStr">
        <is>
          <t>Unidade de Apoio em Execução Fiscal</t>
        </is>
      </c>
      <c r="I394" s="67" t="inlineStr">
        <is>
          <t>5007007-54.2025.8.24.0028</t>
        </is>
      </c>
      <c r="J394" s="67" t="inlineStr">
        <is>
          <t>Tarefa</t>
        </is>
      </c>
      <c r="K394" s="62" t="n">
        <v>46044</v>
      </c>
      <c r="L394" s="67" t="inlineStr">
        <is>
          <t xml:space="preserve">Alexia </t>
        </is>
      </c>
      <c r="M394" s="40" t="inlineStr">
        <is>
          <t>Cumprido</t>
        </is>
      </c>
      <c r="N394" s="62" t="n">
        <v>46044</v>
      </c>
      <c r="O394" s="67" t="inlineStr">
        <is>
          <t>Protocolo</t>
        </is>
      </c>
    </row>
    <row r="395">
      <c r="A395" s="40" t="inlineStr">
        <is>
          <t>5005999-83.2018.4.04.7204</t>
        </is>
      </c>
      <c r="B395" s="40" t="inlineStr">
        <is>
          <t>Outras</t>
        </is>
      </c>
      <c r="D395" s="67" t="inlineStr">
        <is>
          <t>Renata Francisco Becker</t>
        </is>
      </c>
      <c r="E395" s="62" t="n">
        <v>44719</v>
      </c>
      <c r="F395" s="67" t="inlineStr">
        <is>
          <t>Juízo Federal da 4ª VF de Criciúma</t>
        </is>
      </c>
      <c r="I395" s="67" t="inlineStr">
        <is>
          <t>5022996-32.2022.8.24.0020</t>
        </is>
      </c>
      <c r="J395" s="67" t="inlineStr">
        <is>
          <t>Tarefa</t>
        </is>
      </c>
      <c r="K395" s="62" t="n">
        <v>46044</v>
      </c>
      <c r="L395" s="67" t="inlineStr">
        <is>
          <t xml:space="preserve">Alexia </t>
        </is>
      </c>
      <c r="M395" s="40" t="inlineStr">
        <is>
          <t>Cumprido</t>
        </is>
      </c>
      <c r="N395" s="62" t="n">
        <v>46044</v>
      </c>
      <c r="O395" s="67" t="inlineStr">
        <is>
          <t>Protocolo</t>
        </is>
      </c>
    </row>
    <row r="396">
      <c r="A396" s="40" t="inlineStr">
        <is>
          <t>5005906-23.2018.4.04.7204</t>
        </is>
      </c>
      <c r="B396" s="40" t="inlineStr">
        <is>
          <t>Outras</t>
        </is>
      </c>
      <c r="D396" s="67" t="inlineStr">
        <is>
          <t>Renata Francisco Becker</t>
        </is>
      </c>
      <c r="E396" s="62" t="n">
        <v>44741</v>
      </c>
      <c r="F396" s="67" t="inlineStr">
        <is>
          <t>Juízo Substituto da 4ª VF de Criciúma</t>
        </is>
      </c>
      <c r="I396" s="67" t="inlineStr">
        <is>
          <t>50099444620248240004</t>
        </is>
      </c>
      <c r="J396" s="67" t="inlineStr">
        <is>
          <t>Tarefa</t>
        </is>
      </c>
      <c r="K396" s="62" t="n">
        <v>46044</v>
      </c>
      <c r="L396" s="67" t="inlineStr">
        <is>
          <t xml:space="preserve">Alexia </t>
        </is>
      </c>
      <c r="M396" s="40" t="inlineStr">
        <is>
          <t>Cumprido</t>
        </is>
      </c>
      <c r="N396" s="62" t="n">
        <v>46044</v>
      </c>
      <c r="O396" s="67" t="inlineStr">
        <is>
          <t>Protocolo</t>
        </is>
      </c>
    </row>
    <row r="397">
      <c r="A397" s="40" t="n"/>
      <c r="B397" s="40" t="inlineStr">
        <is>
          <t>Outras</t>
        </is>
      </c>
      <c r="D397" s="67" t="inlineStr">
        <is>
          <t>Marelize Controladoria</t>
        </is>
      </c>
      <c r="E397" s="62" t="n">
        <v>46059</v>
      </c>
      <c r="I397" s="67" t="inlineStr">
        <is>
          <t>5007675-95.2020.4.04.7204</t>
        </is>
      </c>
      <c r="J397" s="67" t="inlineStr">
        <is>
          <t>Tarefa</t>
        </is>
      </c>
      <c r="K397" s="62" t="n">
        <v>46044</v>
      </c>
      <c r="L397" s="67" t="inlineStr">
        <is>
          <t>Jessica</t>
        </is>
      </c>
      <c r="M397" s="40" t="inlineStr">
        <is>
          <t>Cumprido</t>
        </is>
      </c>
      <c r="N397" s="62" t="n">
        <v>46044</v>
      </c>
      <c r="O397" s="67" t="inlineStr">
        <is>
          <t>Protocolo</t>
        </is>
      </c>
    </row>
    <row r="398">
      <c r="A398" s="40" t="inlineStr">
        <is>
          <t>5002648-36.2026.4.04.7200</t>
        </is>
      </c>
      <c r="B398" s="40" t="inlineStr">
        <is>
          <t>Outras</t>
        </is>
      </c>
      <c r="D398" s="67" t="inlineStr">
        <is>
          <t>Renata Francisco Becker</t>
        </is>
      </c>
      <c r="E398" s="62" t="n">
        <v>46057</v>
      </c>
      <c r="F398" s="67" t="inlineStr"/>
      <c r="I398" s="67" t="inlineStr">
        <is>
          <t>0001380-58.2025.5.12.0055</t>
        </is>
      </c>
      <c r="J398" s="67" t="inlineStr">
        <is>
          <t>Tarefa</t>
        </is>
      </c>
      <c r="K398" s="62" t="n">
        <v>46044</v>
      </c>
      <c r="L398" s="67" t="inlineStr">
        <is>
          <t>Luci</t>
        </is>
      </c>
      <c r="M398" s="40" t="inlineStr">
        <is>
          <t>Cumprido</t>
        </is>
      </c>
      <c r="N398" s="62" t="n">
        <v>46044</v>
      </c>
      <c r="O398" s="67" t="inlineStr">
        <is>
          <t>Protocolo</t>
        </is>
      </c>
    </row>
    <row r="399">
      <c r="A399" s="40" t="n"/>
      <c r="B399" s="40" t="inlineStr">
        <is>
          <t>Outras</t>
        </is>
      </c>
      <c r="D399" s="67" t="inlineStr">
        <is>
          <t>Jessica</t>
        </is>
      </c>
      <c r="E399" s="62" t="n">
        <v>45946</v>
      </c>
      <c r="I399" s="67" t="inlineStr">
        <is>
          <t>0003005-61.2025.8.16.0154</t>
        </is>
      </c>
      <c r="J399" s="67" t="inlineStr">
        <is>
          <t>Tarefa</t>
        </is>
      </c>
      <c r="K399" s="62" t="n">
        <v>46044</v>
      </c>
      <c r="L399" s="67" t="inlineStr">
        <is>
          <t xml:space="preserve">Alexia </t>
        </is>
      </c>
      <c r="M399" s="40" t="inlineStr">
        <is>
          <t>Cumprido</t>
        </is>
      </c>
      <c r="N399" s="62" t="n">
        <v>46044</v>
      </c>
      <c r="O399" s="67" t="inlineStr">
        <is>
          <t>Protocolo</t>
        </is>
      </c>
    </row>
    <row r="400">
      <c r="A400" s="40" t="n"/>
      <c r="B400" s="40" t="inlineStr">
        <is>
          <t>Outras</t>
        </is>
      </c>
      <c r="D400" s="67" t="inlineStr">
        <is>
          <t>Marelize Controladoria</t>
        </is>
      </c>
      <c r="E400" s="62" t="n">
        <v>46077</v>
      </c>
      <c r="I400" s="67" t="inlineStr">
        <is>
          <t>5022996-32.2022.8.24.0020</t>
        </is>
      </c>
      <c r="J400" s="67" t="inlineStr">
        <is>
          <t>Tarefa</t>
        </is>
      </c>
      <c r="K400" s="62" t="n">
        <v>46044</v>
      </c>
      <c r="L400" s="67" t="inlineStr">
        <is>
          <t xml:space="preserve">Alexia </t>
        </is>
      </c>
      <c r="M400" s="40" t="inlineStr">
        <is>
          <t>Cumprido</t>
        </is>
      </c>
      <c r="N400" s="62" t="n">
        <v>46044</v>
      </c>
      <c r="O400" s="67" t="inlineStr">
        <is>
          <t>Revisão</t>
        </is>
      </c>
    </row>
    <row r="401">
      <c r="A401" s="40" t="n"/>
      <c r="B401" s="40" t="inlineStr">
        <is>
          <t>Outras</t>
        </is>
      </c>
      <c r="D401" s="67" t="inlineStr">
        <is>
          <t>Marelize Controladoria</t>
        </is>
      </c>
      <c r="E401" s="62" t="n">
        <v>46072</v>
      </c>
      <c r="I401" s="67" t="inlineStr">
        <is>
          <t>0003005-61.2025.8.16.0154</t>
        </is>
      </c>
      <c r="J401" s="67" t="inlineStr">
        <is>
          <t>Tarefa</t>
        </is>
      </c>
      <c r="K401" s="62" t="n">
        <v>46044</v>
      </c>
      <c r="L401" s="67" t="inlineStr">
        <is>
          <t xml:space="preserve">Alexia </t>
        </is>
      </c>
      <c r="M401" s="40" t="inlineStr">
        <is>
          <t>Cumprido</t>
        </is>
      </c>
      <c r="N401" s="62" t="n">
        <v>46044</v>
      </c>
      <c r="O401" s="67" t="inlineStr">
        <is>
          <t>Revisão</t>
        </is>
      </c>
    </row>
    <row r="402">
      <c r="A402" s="40" t="n"/>
      <c r="B402" s="40" t="inlineStr">
        <is>
          <t>Outras</t>
        </is>
      </c>
      <c r="D402" s="67" t="inlineStr">
        <is>
          <t>Marelize Controladoria</t>
        </is>
      </c>
      <c r="E402" s="62" t="n">
        <v>46077</v>
      </c>
      <c r="I402" s="67" t="inlineStr">
        <is>
          <t>0001380-58.2025.5.12.0055</t>
        </is>
      </c>
      <c r="J402" s="67" t="inlineStr">
        <is>
          <t>Tarefa</t>
        </is>
      </c>
      <c r="K402" s="62" t="n">
        <v>46044</v>
      </c>
      <c r="L402" s="67" t="inlineStr">
        <is>
          <t>Renata Francisco Becker</t>
        </is>
      </c>
      <c r="M402" s="40" t="inlineStr">
        <is>
          <t>Cumprido</t>
        </is>
      </c>
      <c r="N402" s="62" t="n">
        <v>46044</v>
      </c>
      <c r="O402" s="67" t="inlineStr">
        <is>
          <t>Revisão</t>
        </is>
      </c>
    </row>
    <row r="403">
      <c r="A403" s="40" t="n"/>
      <c r="B403" s="40" t="inlineStr">
        <is>
          <t>Outras</t>
        </is>
      </c>
      <c r="D403" s="67" t="inlineStr">
        <is>
          <t>Marelize Controladoria</t>
        </is>
      </c>
      <c r="E403" s="62" t="n">
        <v>46038</v>
      </c>
      <c r="I403" s="67" t="inlineStr">
        <is>
          <t>0003005-61.2025.8.16.0154</t>
        </is>
      </c>
      <c r="J403" s="67" t="inlineStr">
        <is>
          <t>Tarefa</t>
        </is>
      </c>
      <c r="K403" s="62" t="n">
        <v>46044</v>
      </c>
      <c r="L403" s="67" t="inlineStr">
        <is>
          <t>Renata Francisco Becker</t>
        </is>
      </c>
      <c r="M403" s="40" t="inlineStr">
        <is>
          <t>Cumprido</t>
        </is>
      </c>
      <c r="N403" s="62" t="n">
        <v>46044</v>
      </c>
      <c r="O403" s="67" t="inlineStr">
        <is>
          <t>Revisão</t>
        </is>
      </c>
    </row>
    <row r="404">
      <c r="A404" s="40" t="inlineStr">
        <is>
          <t>5001161-65.2025.8.24.0025</t>
        </is>
      </c>
      <c r="B404" s="40" t="inlineStr">
        <is>
          <t>Outras</t>
        </is>
      </c>
      <c r="D404" s="67" t="inlineStr">
        <is>
          <t>Renata Francisco Becker</t>
        </is>
      </c>
      <c r="E404" s="62" t="n">
        <v>45713</v>
      </c>
      <c r="F404" s="67" t="inlineStr">
        <is>
          <t>1° VARA CIVEL</t>
        </is>
      </c>
      <c r="I404" s="67" t="inlineStr">
        <is>
          <t>0001380-58.2025.5.12.0055</t>
        </is>
      </c>
      <c r="J404" s="67" t="inlineStr">
        <is>
          <t>Tarefa</t>
        </is>
      </c>
      <c r="K404" s="62" t="n">
        <v>46044</v>
      </c>
      <c r="L404" s="67" t="inlineStr">
        <is>
          <t>Luci</t>
        </is>
      </c>
      <c r="M404" s="40" t="inlineStr">
        <is>
          <t>Cumprido</t>
        </is>
      </c>
      <c r="N404" s="62" t="n">
        <v>46044</v>
      </c>
      <c r="O404" s="67" t="inlineStr">
        <is>
          <t>Revisão</t>
        </is>
      </c>
    </row>
    <row r="405">
      <c r="A405" s="40" t="inlineStr">
        <is>
          <t>0000534-03.2025.5.12.0003</t>
        </is>
      </c>
      <c r="B405" s="40" t="inlineStr">
        <is>
          <t>Outras</t>
        </is>
      </c>
      <c r="D405" s="67" t="inlineStr">
        <is>
          <t>Renata Francisco Becker</t>
        </is>
      </c>
      <c r="E405" s="62" t="n">
        <v>45807</v>
      </c>
      <c r="F405" s="67" t="inlineStr"/>
      <c r="I405" s="67" t="inlineStr">
        <is>
          <t>5022996-32.2022.8.24.0020</t>
        </is>
      </c>
      <c r="J405" s="67" t="inlineStr">
        <is>
          <t>Tarefa</t>
        </is>
      </c>
      <c r="K405" s="62" t="n">
        <v>46044</v>
      </c>
      <c r="L405" s="67" t="inlineStr">
        <is>
          <t>Renata Francisco Becker</t>
        </is>
      </c>
      <c r="M405" s="40" t="inlineStr">
        <is>
          <t>Cumprido</t>
        </is>
      </c>
      <c r="N405" s="62" t="n">
        <v>46044</v>
      </c>
      <c r="O405" s="67" t="inlineStr">
        <is>
          <t>Revisão CS MARCO-RAMOS</t>
        </is>
      </c>
    </row>
    <row r="406">
      <c r="A406" s="40" t="n"/>
      <c r="B406" s="40" t="inlineStr">
        <is>
          <t>Outras</t>
        </is>
      </c>
      <c r="D406" s="67" t="inlineStr">
        <is>
          <t>Marelize Controladoria</t>
        </is>
      </c>
      <c r="E406" s="62" t="n">
        <v>46055</v>
      </c>
      <c r="I406" s="67" t="inlineStr">
        <is>
          <t>50061370320258240030</t>
        </is>
      </c>
      <c r="J406" s="67" t="inlineStr">
        <is>
          <t>Tarefa</t>
        </is>
      </c>
      <c r="K406" s="62" t="n">
        <v>46044</v>
      </c>
      <c r="L406" s="67" t="inlineStr">
        <is>
          <t>Renata Francisco Becker</t>
        </is>
      </c>
      <c r="M406" s="40" t="inlineStr">
        <is>
          <t>Cumprido</t>
        </is>
      </c>
      <c r="N406" s="62" t="n">
        <v>46044</v>
      </c>
      <c r="O406" s="67" t="inlineStr">
        <is>
          <t>Revisão</t>
        </is>
      </c>
    </row>
    <row r="407">
      <c r="A407" s="40" t="n"/>
      <c r="B407" s="40" t="inlineStr">
        <is>
          <t>Outras</t>
        </is>
      </c>
      <c r="D407" s="67" t="inlineStr">
        <is>
          <t>Marelize Controladoria</t>
        </is>
      </c>
      <c r="E407" s="62" t="n">
        <v>46077</v>
      </c>
      <c r="I407" s="67" t="inlineStr">
        <is>
          <t>50061370320258240030</t>
        </is>
      </c>
      <c r="J407" s="67" t="inlineStr">
        <is>
          <t>Tarefa</t>
        </is>
      </c>
      <c r="K407" s="62" t="n">
        <v>46044</v>
      </c>
      <c r="L407" s="67" t="inlineStr">
        <is>
          <t>Renata Francisco Becker</t>
        </is>
      </c>
      <c r="M407" s="40" t="inlineStr">
        <is>
          <t>Cumprido</t>
        </is>
      </c>
      <c r="N407" s="62" t="n">
        <v>46044</v>
      </c>
      <c r="O407" s="67" t="inlineStr">
        <is>
          <t>Revisão</t>
        </is>
      </c>
    </row>
    <row r="408">
      <c r="A408" s="40" t="n"/>
      <c r="B408" s="40" t="inlineStr">
        <is>
          <t>Outras</t>
        </is>
      </c>
      <c r="D408" s="67" t="inlineStr">
        <is>
          <t>Marelize Controladoria</t>
        </is>
      </c>
      <c r="E408" s="62" t="n">
        <v>46077</v>
      </c>
      <c r="I408" s="67" t="inlineStr">
        <is>
          <t>5003445-90.2025.8.24.0075</t>
        </is>
      </c>
      <c r="J408" s="67" t="inlineStr">
        <is>
          <t>Tarefa</t>
        </is>
      </c>
      <c r="K408" s="62" t="n">
        <v>46044</v>
      </c>
      <c r="L408" s="67" t="inlineStr">
        <is>
          <t>Renata Francisco Becker</t>
        </is>
      </c>
      <c r="M408" s="40" t="inlineStr">
        <is>
          <t>Cumprido</t>
        </is>
      </c>
      <c r="N408" s="62" t="n">
        <v>46044</v>
      </c>
      <c r="O408" s="67" t="inlineStr">
        <is>
          <t>Revisão</t>
        </is>
      </c>
    </row>
    <row r="409">
      <c r="A409" s="40" t="n"/>
      <c r="B409" s="40" t="inlineStr">
        <is>
          <t>Outras</t>
        </is>
      </c>
      <c r="D409" s="67" t="inlineStr">
        <is>
          <t>Pedro Victor</t>
        </is>
      </c>
      <c r="E409" s="62" t="n">
        <v>45558</v>
      </c>
      <c r="I409" s="67" t="inlineStr">
        <is>
          <t>5003445-90.2025.8.24.0075</t>
        </is>
      </c>
      <c r="J409" s="67" t="inlineStr">
        <is>
          <t>Tarefa</t>
        </is>
      </c>
      <c r="K409" s="62" t="n">
        <v>46044</v>
      </c>
      <c r="L409" s="67" t="inlineStr">
        <is>
          <t>Jessica</t>
        </is>
      </c>
      <c r="M409" s="40" t="inlineStr">
        <is>
          <t>Cumprido</t>
        </is>
      </c>
      <c r="N409" s="62" t="n">
        <v>46044</v>
      </c>
      <c r="O409" s="67" t="inlineStr">
        <is>
          <t>Revisão</t>
        </is>
      </c>
    </row>
    <row r="410">
      <c r="A410" s="40" t="n"/>
      <c r="B410" s="40" t="inlineStr">
        <is>
          <t>Outras</t>
        </is>
      </c>
      <c r="D410" s="67" t="inlineStr">
        <is>
          <t>Pedro Victor</t>
        </is>
      </c>
      <c r="E410" s="62" t="n">
        <v>45432</v>
      </c>
      <c r="I410" s="67" t="inlineStr"/>
      <c r="J410" s="67" t="inlineStr">
        <is>
          <t>Tarefa</t>
        </is>
      </c>
      <c r="K410" s="62" t="n">
        <v>46044</v>
      </c>
      <c r="L410" s="67" t="inlineStr">
        <is>
          <t>Pedro Victor</t>
        </is>
      </c>
      <c r="M410" s="40" t="inlineStr">
        <is>
          <t>Cumprido</t>
        </is>
      </c>
      <c r="N410" s="62" t="n">
        <v>46044</v>
      </c>
      <c r="O410" s="67" t="inlineStr">
        <is>
          <t>Agendar Back/Cassiana</t>
        </is>
      </c>
    </row>
    <row r="411">
      <c r="A411" s="40" t="n"/>
      <c r="B411" s="40" t="inlineStr">
        <is>
          <t>Outras</t>
        </is>
      </c>
      <c r="D411" s="67" t="inlineStr">
        <is>
          <t>Jessica</t>
        </is>
      </c>
      <c r="E411" s="62" t="n">
        <v>46078</v>
      </c>
      <c r="I411" s="67" t="inlineStr"/>
      <c r="J411" s="67" t="inlineStr">
        <is>
          <t>Tarefa</t>
        </is>
      </c>
      <c r="K411" s="62" t="n">
        <v>46044</v>
      </c>
      <c r="L411" s="67" t="inlineStr">
        <is>
          <t>Renata Francisco Becker</t>
        </is>
      </c>
      <c r="M411" s="40" t="inlineStr">
        <is>
          <t>Cumprido</t>
        </is>
      </c>
      <c r="N411" s="62" t="n">
        <v>46044</v>
      </c>
      <c r="O411" s="67" t="inlineStr">
        <is>
          <t>Analisar processo e passar orçamento 0304032-08.2019.8.24.0020 (Usucapião - Zenaide x Fabiane)</t>
        </is>
      </c>
    </row>
    <row r="412">
      <c r="A412" s="40" t="n"/>
      <c r="B412" s="40" t="inlineStr">
        <is>
          <t>Outras</t>
        </is>
      </c>
      <c r="D412" s="67" t="inlineStr">
        <is>
          <t>Marelize Controladoria</t>
        </is>
      </c>
      <c r="E412" s="62" t="n">
        <v>46076</v>
      </c>
      <c r="I412" s="67" t="inlineStr"/>
      <c r="J412" s="67" t="inlineStr">
        <is>
          <t>Tarefa</t>
        </is>
      </c>
      <c r="K412" s="62" t="n">
        <v>46044</v>
      </c>
      <c r="L412" s="67" t="inlineStr">
        <is>
          <t>Jessica</t>
        </is>
      </c>
      <c r="M412" s="40" t="inlineStr">
        <is>
          <t>Cumprido</t>
        </is>
      </c>
      <c r="N412" s="62" t="n">
        <v>46044</v>
      </c>
      <c r="O412" s="67" t="inlineStr">
        <is>
          <t xml:space="preserve">Analise de viabilidade de transação ou parcelamento </t>
        </is>
      </c>
    </row>
    <row r="413">
      <c r="A413" s="40" t="inlineStr">
        <is>
          <t>50036454420258240028</t>
        </is>
      </c>
      <c r="B413" s="40" t="inlineStr">
        <is>
          <t>Outras</t>
        </is>
      </c>
      <c r="D413" s="67" t="inlineStr">
        <is>
          <t>Renata Francisco Becker</t>
        </is>
      </c>
      <c r="E413" s="62" t="n">
        <v>45841</v>
      </c>
      <c r="F413" s="67" t="inlineStr">
        <is>
          <t>Cível</t>
        </is>
      </c>
      <c r="I413" s="67" t="inlineStr"/>
      <c r="J413" s="67" t="inlineStr">
        <is>
          <t>Tarefa</t>
        </is>
      </c>
      <c r="K413" s="62" t="n">
        <v>46044</v>
      </c>
      <c r="L413" s="67" t="inlineStr">
        <is>
          <t>Jessica</t>
        </is>
      </c>
      <c r="M413" s="40" t="inlineStr">
        <is>
          <t>Cumprido</t>
        </is>
      </c>
      <c r="N413" s="62" t="n">
        <v>46044</v>
      </c>
      <c r="O413" s="67" t="inlineStr">
        <is>
          <t>Análise de transação tributária</t>
        </is>
      </c>
    </row>
    <row r="414">
      <c r="A414" s="40" t="n"/>
      <c r="B414" s="40" t="inlineStr">
        <is>
          <t>Outras</t>
        </is>
      </c>
      <c r="D414" s="67" t="inlineStr">
        <is>
          <t>Renata Francisco Becker</t>
        </is>
      </c>
      <c r="E414" s="62" t="n">
        <v>45978</v>
      </c>
      <c r="I414" s="67" t="inlineStr">
        <is>
          <t>0000851-39.2025.5.12.0055</t>
        </is>
      </c>
      <c r="J414" s="67" t="inlineStr">
        <is>
          <t>Tarefa</t>
        </is>
      </c>
      <c r="K414" s="62" t="n">
        <v>46044</v>
      </c>
      <c r="L414" s="67" t="inlineStr">
        <is>
          <t>Marelize Controladoria</t>
        </is>
      </c>
      <c r="M414" s="40" t="inlineStr">
        <is>
          <t>Cumprido</t>
        </is>
      </c>
      <c r="N414" s="62" t="n">
        <v>46044</v>
      </c>
      <c r="O414" s="67" t="inlineStr">
        <is>
          <t xml:space="preserve">Avisar cliente da audiencia. </t>
        </is>
      </c>
    </row>
    <row r="415">
      <c r="A415" s="40" t="inlineStr">
        <is>
          <t>5003573-71.2025.8.24.0282</t>
        </is>
      </c>
      <c r="B415" s="40" t="inlineStr">
        <is>
          <t>Outras</t>
        </is>
      </c>
      <c r="D415" s="67" t="inlineStr">
        <is>
          <t>Renata Francisco Becker</t>
        </is>
      </c>
      <c r="E415" s="62" t="n">
        <v>45911</v>
      </c>
      <c r="F415" s="67" t="inlineStr">
        <is>
          <t>Vara</t>
        </is>
      </c>
      <c r="I415" s="67" t="inlineStr"/>
      <c r="J415" s="67" t="inlineStr">
        <is>
          <t>Tarefa</t>
        </is>
      </c>
      <c r="K415" s="62" t="n">
        <v>46044</v>
      </c>
      <c r="L415" s="67" t="inlineStr">
        <is>
          <t>Julia</t>
        </is>
      </c>
      <c r="M415" s="40" t="inlineStr">
        <is>
          <t>Cumprido</t>
        </is>
      </c>
      <c r="N415" s="62" t="n">
        <v>46044</v>
      </c>
      <c r="O415" s="67" t="inlineStr">
        <is>
          <t>Elaboração</t>
        </is>
      </c>
    </row>
    <row r="416">
      <c r="A416" s="40" t="inlineStr">
        <is>
          <t>5025714-65.2023.8.24.0020</t>
        </is>
      </c>
      <c r="B416" s="40" t="inlineStr">
        <is>
          <t>Outras</t>
        </is>
      </c>
      <c r="D416" s="67" t="inlineStr">
        <is>
          <t>Renata Francisco Becker</t>
        </is>
      </c>
      <c r="E416" s="62" t="n">
        <v>45709</v>
      </c>
      <c r="F416" s="67" t="inlineStr">
        <is>
          <t>Vara Cível</t>
        </is>
      </c>
      <c r="I416" s="67" t="inlineStr"/>
      <c r="J416" s="67" t="inlineStr">
        <is>
          <t>Tarefa</t>
        </is>
      </c>
      <c r="K416" s="62" t="n">
        <v>46044</v>
      </c>
      <c r="L416" s="67" t="inlineStr">
        <is>
          <t>Jessica</t>
        </is>
      </c>
      <c r="M416" s="40" t="inlineStr">
        <is>
          <t>Cumprido</t>
        </is>
      </c>
      <c r="N416" s="62" t="n">
        <v>46044</v>
      </c>
      <c r="O416" s="67" t="inlineStr">
        <is>
          <t>Elaboração de clausula tributária</t>
        </is>
      </c>
    </row>
    <row r="417">
      <c r="A417" s="40" t="inlineStr">
        <is>
          <t>5010657-82.2020.4.04.7204</t>
        </is>
      </c>
      <c r="B417" s="40" t="inlineStr">
        <is>
          <t>Outras</t>
        </is>
      </c>
      <c r="D417" s="67" t="inlineStr">
        <is>
          <t>Renata Francisco Becker</t>
        </is>
      </c>
      <c r="E417" s="62" t="n">
        <v>44707</v>
      </c>
      <c r="F417" s="67" t="inlineStr">
        <is>
          <t>Juízo Substituto da 4ª VF de Criciúma</t>
        </is>
      </c>
      <c r="I417" s="67" t="inlineStr"/>
      <c r="J417" s="67" t="inlineStr">
        <is>
          <t>Tarefa</t>
        </is>
      </c>
      <c r="K417" s="62" t="n">
        <v>46044</v>
      </c>
      <c r="L417" s="67" t="inlineStr">
        <is>
          <t>Julia</t>
        </is>
      </c>
      <c r="M417" s="40" t="inlineStr">
        <is>
          <t>Cumprido</t>
        </is>
      </c>
      <c r="N417" s="62" t="n">
        <v>46044</v>
      </c>
      <c r="O417" s="67" t="inlineStr">
        <is>
          <t>Finalização</t>
        </is>
      </c>
    </row>
    <row r="418">
      <c r="A418" s="40" t="n"/>
      <c r="B418" s="40" t="inlineStr">
        <is>
          <t>Outras</t>
        </is>
      </c>
      <c r="D418" s="67" t="inlineStr">
        <is>
          <t>Marelize Controladoria</t>
        </is>
      </c>
      <c r="E418" s="62" t="n">
        <v>46073</v>
      </c>
      <c r="I418" s="67" t="inlineStr"/>
      <c r="J418" s="67" t="inlineStr">
        <is>
          <t>Tarefa</t>
        </is>
      </c>
      <c r="K418" s="62" t="n">
        <v>46044</v>
      </c>
      <c r="L418" s="67" t="inlineStr">
        <is>
          <t>Julia</t>
        </is>
      </c>
      <c r="M418" s="40" t="inlineStr">
        <is>
          <t>Cumprido</t>
        </is>
      </c>
      <c r="N418" s="62" t="n">
        <v>46044</v>
      </c>
      <c r="O418" s="67" t="inlineStr">
        <is>
          <t>Finalização</t>
        </is>
      </c>
    </row>
    <row r="419">
      <c r="A419" s="40" t="n"/>
      <c r="B419" s="40" t="inlineStr">
        <is>
          <t>Outras</t>
        </is>
      </c>
      <c r="D419" s="67" t="inlineStr">
        <is>
          <t>Marelize Controladoria</t>
        </is>
      </c>
      <c r="E419" s="62" t="n">
        <v>46062</v>
      </c>
      <c r="I419" s="67" t="inlineStr">
        <is>
          <t>5000540-03.2026.4.04.0000</t>
        </is>
      </c>
      <c r="J419" s="67" t="inlineStr">
        <is>
          <t>Tarefa</t>
        </is>
      </c>
      <c r="K419" s="62" t="n">
        <v>46044</v>
      </c>
      <c r="L419" s="67" t="inlineStr">
        <is>
          <t>Jessica</t>
        </is>
      </c>
      <c r="M419" s="40" t="inlineStr">
        <is>
          <t>Cumprido</t>
        </is>
      </c>
      <c r="N419" s="62" t="n">
        <v>46044</v>
      </c>
      <c r="O419" s="67" t="inlineStr">
        <is>
          <t>Monitorar decisão do processo</t>
        </is>
      </c>
    </row>
    <row r="420">
      <c r="A420" s="40" t="inlineStr">
        <is>
          <t>0000959-89.2024.5.12.0027</t>
        </is>
      </c>
      <c r="B420" s="40" t="inlineStr">
        <is>
          <t>Outras</t>
        </is>
      </c>
      <c r="D420" s="67" t="inlineStr">
        <is>
          <t>Renata Francisco Becker</t>
        </is>
      </c>
      <c r="E420" s="62" t="n">
        <v>45546</v>
      </c>
      <c r="F420" s="67" t="inlineStr">
        <is>
          <t>2ª VARA DO TRABALHO DE CRICIÚMA</t>
        </is>
      </c>
      <c r="I420" s="67" t="inlineStr"/>
      <c r="J420" s="67" t="inlineStr">
        <is>
          <t>Tarefa</t>
        </is>
      </c>
      <c r="K420" s="62" t="n">
        <v>46044</v>
      </c>
      <c r="L420" s="67" t="inlineStr">
        <is>
          <t>Pedro Victor</t>
        </is>
      </c>
      <c r="M420" s="40" t="inlineStr">
        <is>
          <t>Cumprido</t>
        </is>
      </c>
      <c r="N420" s="62" t="n">
        <v>46044</v>
      </c>
      <c r="O420" s="67" t="inlineStr">
        <is>
          <t>pedro fazer seu cadastro no tjrs e do cnpj por faovr</t>
        </is>
      </c>
    </row>
    <row r="421">
      <c r="A421" s="40" t="n"/>
      <c r="B421" s="40" t="inlineStr">
        <is>
          <t>Outras</t>
        </is>
      </c>
      <c r="D421" s="67" t="inlineStr">
        <is>
          <t>Marelize Controladoria</t>
        </is>
      </c>
      <c r="E421" s="62" t="n">
        <v>46065</v>
      </c>
      <c r="I421" s="67" t="inlineStr">
        <is>
          <t>0300494-97.2016.8.24.0028</t>
        </is>
      </c>
      <c r="J421" s="67" t="inlineStr">
        <is>
          <t>Tarefa</t>
        </is>
      </c>
      <c r="K421" s="62" t="n">
        <v>46044</v>
      </c>
      <c r="L421" s="67" t="inlineStr">
        <is>
          <t>Renata Francisco Becker</t>
        </is>
      </c>
      <c r="M421" s="40" t="inlineStr">
        <is>
          <t>Cumprido</t>
        </is>
      </c>
      <c r="N421" s="62" t="n">
        <v>46044</v>
      </c>
      <c r="O421" s="67" t="inlineStr">
        <is>
          <t>Preparar cliente para audiencia.</t>
        </is>
      </c>
    </row>
    <row r="422">
      <c r="A422" s="40" t="n"/>
      <c r="B422" s="40" t="inlineStr">
        <is>
          <t>Outras</t>
        </is>
      </c>
      <c r="D422" s="67" t="inlineStr">
        <is>
          <t>Marelize Controladoria</t>
        </is>
      </c>
      <c r="E422" s="62" t="n">
        <v>46065</v>
      </c>
      <c r="I422" s="67" t="inlineStr">
        <is>
          <t>50006362720268240000</t>
        </is>
      </c>
      <c r="J422" s="67" t="inlineStr">
        <is>
          <t>Tarefa</t>
        </is>
      </c>
      <c r="K422" s="62" t="n">
        <v>46044</v>
      </c>
      <c r="L422" s="67" t="inlineStr">
        <is>
          <t>Jessica</t>
        </is>
      </c>
      <c r="M422" s="40" t="inlineStr">
        <is>
          <t>Cumprido</t>
        </is>
      </c>
      <c r="N422" s="62" t="n">
        <v>46044</v>
      </c>
      <c r="O422" s="67" t="inlineStr">
        <is>
          <t>Protocolo</t>
        </is>
      </c>
    </row>
    <row r="423">
      <c r="A423" s="40" t="n"/>
      <c r="B423" s="40" t="inlineStr">
        <is>
          <t>Outras</t>
        </is>
      </c>
      <c r="D423" s="67" t="inlineStr">
        <is>
          <t>Marelize Controladoria</t>
        </is>
      </c>
      <c r="E423" s="62" t="n">
        <v>46059</v>
      </c>
      <c r="I423" s="67" t="inlineStr"/>
      <c r="J423" s="67" t="inlineStr">
        <is>
          <t>Tarefa</t>
        </is>
      </c>
      <c r="K423" s="62" t="n">
        <v>46044</v>
      </c>
      <c r="L423" s="67" t="inlineStr">
        <is>
          <t>Julia</t>
        </is>
      </c>
      <c r="M423" s="40" t="inlineStr">
        <is>
          <t>Cumprido</t>
        </is>
      </c>
      <c r="N423" s="62" t="n">
        <v>46044</v>
      </c>
      <c r="O423" s="67" t="inlineStr">
        <is>
          <t>Revisão</t>
        </is>
      </c>
    </row>
    <row r="424">
      <c r="A424" s="40" t="inlineStr">
        <is>
          <t>0000723-11.2022.5.12.0027</t>
        </is>
      </c>
      <c r="B424" s="40" t="inlineStr">
        <is>
          <t>Outras</t>
        </is>
      </c>
      <c r="D424" s="67" t="inlineStr">
        <is>
          <t>Renata Francisco Becker</t>
        </is>
      </c>
      <c r="E424" s="62" t="n">
        <v>44844</v>
      </c>
      <c r="F424" s="67" t="inlineStr"/>
      <c r="I424" s="67" t="inlineStr"/>
      <c r="J424" s="67" t="inlineStr">
        <is>
          <t>Tarefa</t>
        </is>
      </c>
      <c r="K424" s="62" t="n">
        <v>46044</v>
      </c>
      <c r="L424" s="67" t="inlineStr">
        <is>
          <t>Julia</t>
        </is>
      </c>
      <c r="M424" s="40" t="inlineStr">
        <is>
          <t>Cumprido</t>
        </is>
      </c>
      <c r="N424" s="62" t="n">
        <v>46044</v>
      </c>
      <c r="O424" s="67" t="inlineStr">
        <is>
          <t>Revisão</t>
        </is>
      </c>
    </row>
    <row r="425">
      <c r="A425" s="40" t="n"/>
      <c r="B425" s="40" t="inlineStr">
        <is>
          <t>Outras</t>
        </is>
      </c>
      <c r="D425" s="67" t="inlineStr">
        <is>
          <t>Marelize Controladoria</t>
        </is>
      </c>
      <c r="E425" s="62" t="n">
        <v>46055</v>
      </c>
      <c r="I425" s="67" t="inlineStr"/>
      <c r="J425" s="67" t="inlineStr">
        <is>
          <t>Tarefa</t>
        </is>
      </c>
      <c r="K425" s="62" t="n">
        <v>46044</v>
      </c>
      <c r="L425" s="67" t="inlineStr">
        <is>
          <t>Renata Francisco Becker</t>
        </is>
      </c>
      <c r="M425" s="40" t="inlineStr">
        <is>
          <t>Cumprido</t>
        </is>
      </c>
      <c r="N425" s="62" t="n">
        <v>46044</v>
      </c>
      <c r="O425" s="67" t="inlineStr">
        <is>
          <t xml:space="preserve">Revisão </t>
        </is>
      </c>
    </row>
    <row r="426">
      <c r="A426" s="40" t="n"/>
      <c r="B426" s="40" t="inlineStr">
        <is>
          <t>Outras</t>
        </is>
      </c>
      <c r="D426" s="67" t="inlineStr">
        <is>
          <t>Marelize Controladoria</t>
        </is>
      </c>
      <c r="E426" s="62" t="n">
        <v>46064</v>
      </c>
      <c r="I426" s="67" t="inlineStr"/>
      <c r="J426" s="67" t="inlineStr">
        <is>
          <t>Tarefa</t>
        </is>
      </c>
      <c r="K426" s="62" t="n">
        <v>46044</v>
      </c>
      <c r="L426" s="67" t="inlineStr">
        <is>
          <t>Renata Francisco Becker</t>
        </is>
      </c>
      <c r="M426" s="40" t="inlineStr">
        <is>
          <t>Cumprido</t>
        </is>
      </c>
      <c r="N426" s="62" t="n">
        <v>46044</v>
      </c>
      <c r="O426" s="67" t="inlineStr">
        <is>
          <t xml:space="preserve">Revisão </t>
        </is>
      </c>
    </row>
    <row r="427">
      <c r="A427" s="40" t="n"/>
      <c r="B427" s="40" t="inlineStr">
        <is>
          <t>Outras</t>
        </is>
      </c>
      <c r="D427" s="67" t="inlineStr">
        <is>
          <t>Marelize Controladoria</t>
        </is>
      </c>
      <c r="E427" s="62" t="n">
        <v>46064</v>
      </c>
      <c r="I427" s="67" t="inlineStr"/>
      <c r="J427" s="67" t="inlineStr">
        <is>
          <t>Evento</t>
        </is>
      </c>
      <c r="K427" s="62" t="n">
        <v>46044</v>
      </c>
      <c r="L427" s="67" t="inlineStr">
        <is>
          <t>Pedro Victor</t>
        </is>
      </c>
      <c r="M427" s="40" t="inlineStr">
        <is>
          <t>Cumprido</t>
        </is>
      </c>
      <c r="N427" s="62" t="n">
        <v>46044</v>
      </c>
      <c r="O427" s="67" t="inlineStr">
        <is>
          <t xml:space="preserve">Reunião Geandre Contador Araranguá </t>
        </is>
      </c>
    </row>
    <row r="428">
      <c r="A428" s="40" t="n"/>
      <c r="B428" s="40" t="inlineStr">
        <is>
          <t>Outras</t>
        </is>
      </c>
      <c r="D428" s="67" t="inlineStr">
        <is>
          <t>Renata Francisco Becker</t>
        </is>
      </c>
      <c r="E428" s="62" t="n">
        <v>45785</v>
      </c>
      <c r="I428" s="67" t="inlineStr">
        <is>
          <t>0010142-48.2025.5.15.0033</t>
        </is>
      </c>
      <c r="J428" s="67" t="inlineStr">
        <is>
          <t>Audiência</t>
        </is>
      </c>
      <c r="K428" s="62" t="n">
        <v>46044</v>
      </c>
      <c r="L428" s="67" t="inlineStr">
        <is>
          <t>Luci</t>
        </is>
      </c>
      <c r="M428" s="40" t="inlineStr">
        <is>
          <t>Cumprido</t>
        </is>
      </c>
      <c r="N428" s="62" t="n">
        <v>46044</v>
      </c>
      <c r="O428" s="67" t="inlineStr">
        <is>
          <t>Perícia Técnica Judicial  - Insalubridade</t>
        </is>
      </c>
    </row>
    <row r="429">
      <c r="A429" s="40" t="inlineStr">
        <is>
          <t>00015545420255120027</t>
        </is>
      </c>
      <c r="B429" s="40" t="inlineStr">
        <is>
          <t>Outras</t>
        </is>
      </c>
      <c r="D429" s="67" t="inlineStr">
        <is>
          <t>Renata Francisco Becker</t>
        </is>
      </c>
      <c r="E429" s="62" t="n">
        <v>45960</v>
      </c>
      <c r="F429" s="67" t="inlineStr"/>
      <c r="I429" s="67" t="inlineStr"/>
      <c r="J429" s="67" t="inlineStr">
        <is>
          <t>Evento</t>
        </is>
      </c>
      <c r="K429" s="62" t="n">
        <v>46044</v>
      </c>
      <c r="L429" s="67" t="inlineStr">
        <is>
          <t>Pedro Victor</t>
        </is>
      </c>
      <c r="M429" s="40" t="inlineStr">
        <is>
          <t>Cumprido</t>
        </is>
      </c>
      <c r="N429" s="62" t="n">
        <v>46044</v>
      </c>
      <c r="O429" s="67" t="inlineStr">
        <is>
          <t xml:space="preserve">Reunião Perdona </t>
        </is>
      </c>
    </row>
    <row r="430">
      <c r="A430" s="40" t="inlineStr">
        <is>
          <t>000718.2024.12.005/0</t>
        </is>
      </c>
      <c r="B430" s="40" t="inlineStr">
        <is>
          <t>Outras</t>
        </is>
      </c>
      <c r="D430" s="67" t="inlineStr">
        <is>
          <t>Pedro Victor</t>
        </is>
      </c>
      <c r="E430" s="62" t="n">
        <v>45693</v>
      </c>
      <c r="F430" s="67" t="inlineStr"/>
      <c r="I430" s="67" t="inlineStr">
        <is>
          <t>0001647-89.2025.5.12.0003</t>
        </is>
      </c>
      <c r="J430" s="67" t="inlineStr">
        <is>
          <t>Audiência</t>
        </is>
      </c>
      <c r="K430" s="62" t="n">
        <v>46044</v>
      </c>
      <c r="L430" s="67" t="inlineStr">
        <is>
          <t>Luci</t>
        </is>
      </c>
      <c r="M430" s="40" t="inlineStr">
        <is>
          <t>Cumprido</t>
        </is>
      </c>
      <c r="N430" s="62" t="n">
        <v>46044</v>
      </c>
      <c r="O430" s="67" t="inlineStr">
        <is>
          <t>AUDIENCIA DE HOMOLOGAÇÃO DE ACORDO</t>
        </is>
      </c>
    </row>
    <row r="431">
      <c r="A431" s="40" t="n"/>
      <c r="B431" s="40" t="inlineStr">
        <is>
          <t>Outras</t>
        </is>
      </c>
      <c r="D431" s="67" t="inlineStr">
        <is>
          <t>Pedro Victor</t>
        </is>
      </c>
      <c r="E431" s="62" t="n">
        <v>46073</v>
      </c>
      <c r="I431" s="67" t="inlineStr">
        <is>
          <t>0001656-76.2025.5.12.0027</t>
        </is>
      </c>
      <c r="J431" s="67" t="inlineStr">
        <is>
          <t>Audiência</t>
        </is>
      </c>
      <c r="K431" s="62" t="n">
        <v>46044</v>
      </c>
      <c r="L431" s="67" t="inlineStr">
        <is>
          <t>Pedro Victor</t>
        </is>
      </c>
      <c r="M431" s="40" t="inlineStr">
        <is>
          <t>Cumprido</t>
        </is>
      </c>
      <c r="N431" s="62" t="n">
        <v>46044</v>
      </c>
      <c r="O431" s="67" t="inlineStr">
        <is>
          <t>Audiência de apreciação de acordo Damila e HF</t>
        </is>
      </c>
    </row>
    <row r="432">
      <c r="A432" s="40" t="n"/>
      <c r="B432" s="40" t="inlineStr">
        <is>
          <t>Outras</t>
        </is>
      </c>
      <c r="D432" s="67" t="inlineStr">
        <is>
          <t>Marelize Controladoria</t>
        </is>
      </c>
      <c r="E432" s="62" t="n">
        <v>46072</v>
      </c>
      <c r="I432" s="67" t="inlineStr"/>
      <c r="J432" s="67" t="inlineStr">
        <is>
          <t>Prazo</t>
        </is>
      </c>
      <c r="K432" s="62" t="n">
        <v>46045</v>
      </c>
      <c r="L432" s="67" t="inlineStr">
        <is>
          <t xml:space="preserve">Alexia </t>
        </is>
      </c>
      <c r="M432" s="40" t="inlineStr">
        <is>
          <t>Cumprido</t>
        </is>
      </c>
      <c r="N432" s="62" t="n">
        <v>46045</v>
      </c>
      <c r="O432" s="67" t="inlineStr">
        <is>
          <t>Acompanhar - Notificação Extrajudicial</t>
        </is>
      </c>
    </row>
    <row r="433">
      <c r="A433" s="40" t="n"/>
      <c r="B433" s="40" t="inlineStr">
        <is>
          <t>Outras</t>
        </is>
      </c>
      <c r="D433" s="67" t="inlineStr">
        <is>
          <t>Marelize Controladoria</t>
        </is>
      </c>
      <c r="E433" s="62" t="n">
        <v>46070</v>
      </c>
      <c r="I433" s="67" t="inlineStr">
        <is>
          <t>5013743-49.2024.8.24.0020</t>
        </is>
      </c>
      <c r="J433" s="67" t="inlineStr">
        <is>
          <t>Prazo</t>
        </is>
      </c>
      <c r="K433" s="62" t="n">
        <v>46045</v>
      </c>
      <c r="L433" s="67" t="inlineStr">
        <is>
          <t>Renata Francisco Becker</t>
        </is>
      </c>
      <c r="M433" s="40" t="inlineStr">
        <is>
          <t>Cumprido</t>
        </is>
      </c>
      <c r="N433" s="62" t="n">
        <v>46045</v>
      </c>
      <c r="O433" s="67" t="inlineStr">
        <is>
          <t>Apelação - verificar se cabe embargos</t>
        </is>
      </c>
    </row>
    <row r="434">
      <c r="A434" s="40" t="n"/>
      <c r="B434" s="40" t="inlineStr">
        <is>
          <t>Outras</t>
        </is>
      </c>
      <c r="D434" s="67" t="inlineStr">
        <is>
          <t>Pedro Victor</t>
        </is>
      </c>
      <c r="E434" s="62" t="n">
        <v>46048</v>
      </c>
      <c r="I434" s="67" t="inlineStr">
        <is>
          <t>5029283-06.2025.8.24.0020</t>
        </is>
      </c>
      <c r="J434" s="67" t="inlineStr">
        <is>
          <t>Prazo</t>
        </is>
      </c>
      <c r="K434" s="62" t="n">
        <v>46045</v>
      </c>
      <c r="L434" s="67" t="inlineStr">
        <is>
          <t xml:space="preserve">Alexia </t>
        </is>
      </c>
      <c r="M434" s="40" t="inlineStr">
        <is>
          <t>Cumprido</t>
        </is>
      </c>
      <c r="N434" s="62" t="n">
        <v>46045</v>
      </c>
      <c r="O434" s="67" t="inlineStr">
        <is>
          <t>Contestação</t>
        </is>
      </c>
    </row>
    <row r="435">
      <c r="A435" s="40" t="n"/>
      <c r="B435" s="40" t="inlineStr">
        <is>
          <t>Outras</t>
        </is>
      </c>
      <c r="D435" s="67" t="inlineStr">
        <is>
          <t>Marelize Controladoria</t>
        </is>
      </c>
      <c r="E435" s="62" t="n">
        <v>46052</v>
      </c>
      <c r="I435" s="67" t="inlineStr">
        <is>
          <t>5000620-97.2026.8.21.0019</t>
        </is>
      </c>
      <c r="J435" s="67" t="inlineStr">
        <is>
          <t>Prazo</t>
        </is>
      </c>
      <c r="K435" s="62" t="n">
        <v>46045</v>
      </c>
      <c r="L435" s="67" t="inlineStr">
        <is>
          <t>Jessica</t>
        </is>
      </c>
      <c r="M435" s="40" t="inlineStr">
        <is>
          <t>Cumprido</t>
        </is>
      </c>
      <c r="N435" s="62" t="n">
        <v>46045</v>
      </c>
      <c r="O435" s="67" t="inlineStr">
        <is>
          <t>Custas iniciais URGENTE</t>
        </is>
      </c>
    </row>
    <row r="436">
      <c r="A436" s="40" t="n"/>
      <c r="B436" s="40" t="inlineStr">
        <is>
          <t>Outras</t>
        </is>
      </c>
      <c r="D436" s="67" t="inlineStr">
        <is>
          <t>Marelize Controladoria</t>
        </is>
      </c>
      <c r="E436" s="62" t="n">
        <v>46045</v>
      </c>
      <c r="I436" s="67" t="inlineStr"/>
      <c r="J436" s="67" t="inlineStr">
        <is>
          <t>Prazo</t>
        </is>
      </c>
      <c r="K436" s="62" t="n">
        <v>46045</v>
      </c>
      <c r="L436" s="67" t="inlineStr">
        <is>
          <t>Pedro Victor</t>
        </is>
      </c>
      <c r="M436" s="40" t="inlineStr">
        <is>
          <t>Cumprido</t>
        </is>
      </c>
      <c r="N436" s="62" t="n">
        <v>46045</v>
      </c>
      <c r="O436" s="67" t="inlineStr">
        <is>
          <t xml:space="preserve">e-mail para acordo extrajudicial </t>
        </is>
      </c>
    </row>
    <row r="437">
      <c r="A437" s="40" t="inlineStr">
        <is>
          <t>5224773-07.2025.8.21.0001</t>
        </is>
      </c>
      <c r="B437" s="40" t="inlineStr">
        <is>
          <t>Outras</t>
        </is>
      </c>
      <c r="D437" s="67" t="inlineStr">
        <is>
          <t>Renata Francisco Becker</t>
        </is>
      </c>
      <c r="E437" s="62" t="n">
        <v>45944</v>
      </c>
      <c r="F437" s="67" t="inlineStr">
        <is>
          <t>Vara Estadual de Execuções Fiscais de Tributos Estaduais</t>
        </is>
      </c>
      <c r="I437" s="67" t="inlineStr"/>
      <c r="J437" s="67" t="inlineStr">
        <is>
          <t>Prazo</t>
        </is>
      </c>
      <c r="K437" s="62" t="n">
        <v>46045</v>
      </c>
      <c r="L437" s="67" t="inlineStr">
        <is>
          <t>Luci</t>
        </is>
      </c>
      <c r="M437" s="40" t="inlineStr">
        <is>
          <t>Cumprido</t>
        </is>
      </c>
      <c r="N437" s="62" t="n">
        <v>46045</v>
      </c>
      <c r="O437" s="67" t="inlineStr">
        <is>
          <t xml:space="preserve">Elaborar contrato PJ contratado Vonsher </t>
        </is>
      </c>
    </row>
    <row r="438">
      <c r="A438" s="40" t="inlineStr">
        <is>
          <t>50155731620258240020</t>
        </is>
      </c>
      <c r="B438" s="40" t="inlineStr">
        <is>
          <t>Outras</t>
        </is>
      </c>
      <c r="D438" s="67" t="inlineStr">
        <is>
          <t>Renata Francisco Becker</t>
        </is>
      </c>
      <c r="E438" s="62" t="n">
        <v>45812</v>
      </c>
      <c r="F438" s="67" t="inlineStr">
        <is>
          <t>3° vara cível</t>
        </is>
      </c>
      <c r="I438" s="67" t="inlineStr"/>
      <c r="J438" s="67" t="inlineStr">
        <is>
          <t>Prazo</t>
        </is>
      </c>
      <c r="K438" s="62" t="n">
        <v>46045</v>
      </c>
      <c r="L438" s="67" t="inlineStr">
        <is>
          <t>Julia</t>
        </is>
      </c>
      <c r="M438" s="40" t="inlineStr">
        <is>
          <t>Cumprido</t>
        </is>
      </c>
      <c r="N438" s="62" t="n">
        <v>46045</v>
      </c>
      <c r="O438" s="67" t="inlineStr">
        <is>
          <t>Elaboração de contrato de locação</t>
        </is>
      </c>
    </row>
    <row r="439">
      <c r="A439" s="40" t="inlineStr">
        <is>
          <t>5015009-76.2021.8.24.0020</t>
        </is>
      </c>
      <c r="B439" s="40" t="inlineStr">
        <is>
          <t>Outras</t>
        </is>
      </c>
      <c r="D439" s="67" t="inlineStr">
        <is>
          <t>Renata Francisco Becker</t>
        </is>
      </c>
      <c r="E439" s="62" t="n">
        <v>44701</v>
      </c>
      <c r="F439" s="67" t="inlineStr">
        <is>
          <t>Juizo Da 1ª Vara Da Fazenda Publica Da Comarca De Criciuma</t>
        </is>
      </c>
      <c r="I439" s="67" t="inlineStr">
        <is>
          <t>0001380-58.2025.5.12.0055</t>
        </is>
      </c>
      <c r="J439" s="67" t="inlineStr">
        <is>
          <t>Prazo</t>
        </is>
      </c>
      <c r="K439" s="62" t="n">
        <v>46045</v>
      </c>
      <c r="L439" s="67" t="inlineStr">
        <is>
          <t>Luci</t>
        </is>
      </c>
      <c r="M439" s="40" t="inlineStr">
        <is>
          <t>Cumprido</t>
        </is>
      </c>
      <c r="N439" s="62" t="n">
        <v>46045</v>
      </c>
      <c r="O439" s="67" t="inlineStr">
        <is>
          <t>PF23.01 - Transdag Ramires x Transdag (Przo Luci)</t>
        </is>
      </c>
    </row>
    <row r="440">
      <c r="A440" s="40" t="inlineStr">
        <is>
          <t>5026490-65.2023.8.24.0020</t>
        </is>
      </c>
      <c r="B440" s="40" t="inlineStr">
        <is>
          <t>Outras</t>
        </is>
      </c>
      <c r="D440" s="67" t="inlineStr">
        <is>
          <t>Renata Francisco Becker</t>
        </is>
      </c>
      <c r="E440" s="62" t="n">
        <v>45485</v>
      </c>
      <c r="F440" s="67" t="inlineStr">
        <is>
          <t>Vara Cível</t>
        </is>
      </c>
      <c r="I440" s="67" t="inlineStr">
        <is>
          <t>0000500-51.2025.5.12.0060</t>
        </is>
      </c>
      <c r="J440" s="67" t="inlineStr">
        <is>
          <t>Prazo</t>
        </is>
      </c>
      <c r="K440" s="62" t="n">
        <v>46045</v>
      </c>
      <c r="L440" s="67" t="inlineStr">
        <is>
          <t>Luci</t>
        </is>
      </c>
      <c r="M440" s="40" t="inlineStr">
        <is>
          <t>Cumprido</t>
        </is>
      </c>
      <c r="N440" s="62" t="n">
        <v>46045</v>
      </c>
      <c r="O440" s="67" t="inlineStr">
        <is>
          <t xml:space="preserve">Prazo </t>
        </is>
      </c>
    </row>
    <row r="441">
      <c r="A441" s="40" t="inlineStr">
        <is>
          <t>5091525-61.2025.8.24.0000</t>
        </is>
      </c>
      <c r="B441" s="40" t="inlineStr">
        <is>
          <t>Outras</t>
        </is>
      </c>
      <c r="D441" s="67" t="inlineStr">
        <is>
          <t>Renata Francisco Becker</t>
        </is>
      </c>
      <c r="E441" s="62" t="n">
        <v>45966</v>
      </c>
      <c r="F441" s="67" t="inlineStr">
        <is>
          <t>8ª Câmara de Direito Civil</t>
        </is>
      </c>
      <c r="I441" s="67" t="inlineStr">
        <is>
          <t>0000558-02.2023.5.12.0003</t>
        </is>
      </c>
      <c r="J441" s="67" t="inlineStr">
        <is>
          <t>Prazo</t>
        </is>
      </c>
      <c r="K441" s="62" t="n">
        <v>46045</v>
      </c>
      <c r="L441" s="67" t="inlineStr">
        <is>
          <t>Luci</t>
        </is>
      </c>
      <c r="M441" s="40" t="inlineStr">
        <is>
          <t>Cumprido</t>
        </is>
      </c>
      <c r="N441" s="62" t="n">
        <v>46045</v>
      </c>
      <c r="O441" s="67" t="inlineStr">
        <is>
          <t>Prazo</t>
        </is>
      </c>
    </row>
    <row r="442">
      <c r="A442" s="40" t="inlineStr">
        <is>
          <t>5026124-09.2025.4.04.0000</t>
        </is>
      </c>
      <c r="B442" s="40" t="inlineStr">
        <is>
          <t>Outras</t>
        </is>
      </c>
      <c r="D442" s="67" t="inlineStr">
        <is>
          <t>Renata Francisco Becker</t>
        </is>
      </c>
      <c r="E442" s="62" t="n">
        <v>45891</v>
      </c>
      <c r="F442" s="67" t="inlineStr"/>
      <c r="I442" s="67" t="inlineStr">
        <is>
          <t>0000851-39.2025.5.12.0055</t>
        </is>
      </c>
      <c r="J442" s="67" t="inlineStr">
        <is>
          <t>Prazo</t>
        </is>
      </c>
      <c r="K442" s="62" t="n">
        <v>46045</v>
      </c>
      <c r="L442" s="67" t="inlineStr">
        <is>
          <t>Luci</t>
        </is>
      </c>
      <c r="M442" s="40" t="inlineStr">
        <is>
          <t>Cumprido</t>
        </is>
      </c>
      <c r="N442" s="62" t="n">
        <v>46045</v>
      </c>
      <c r="O442" s="67" t="inlineStr">
        <is>
          <t>Prazo (Audiência)</t>
        </is>
      </c>
    </row>
    <row r="443">
      <c r="A443" s="40" t="inlineStr">
        <is>
          <t>5010580-75.2025.8.24.0004</t>
        </is>
      </c>
      <c r="B443" s="40" t="inlineStr">
        <is>
          <t>Outras</t>
        </is>
      </c>
      <c r="D443" s="67" t="inlineStr">
        <is>
          <t>Renata Francisco Becker</t>
        </is>
      </c>
      <c r="E443" s="62" t="n">
        <v>45873</v>
      </c>
      <c r="F443" s="67" t="inlineStr"/>
      <c r="I443" s="67" t="inlineStr">
        <is>
          <t>5023319-32.2025.8.24.0020</t>
        </is>
      </c>
      <c r="J443" s="67" t="inlineStr">
        <is>
          <t>Prazo</t>
        </is>
      </c>
      <c r="K443" s="62" t="n">
        <v>46045</v>
      </c>
      <c r="L443" s="67" t="inlineStr">
        <is>
          <t xml:space="preserve">Alexia </t>
        </is>
      </c>
      <c r="M443" s="40" t="inlineStr">
        <is>
          <t>Cumprido</t>
        </is>
      </c>
      <c r="N443" s="62" t="n">
        <v>46045</v>
      </c>
      <c r="O443" s="67" t="inlineStr">
        <is>
          <t>Prazo AR</t>
        </is>
      </c>
    </row>
    <row r="444">
      <c r="A444" s="40" t="n"/>
      <c r="B444" s="40" t="inlineStr">
        <is>
          <t>Outras</t>
        </is>
      </c>
      <c r="D444" s="67" t="inlineStr">
        <is>
          <t>Marelize Controladoria</t>
        </is>
      </c>
      <c r="E444" s="62" t="n">
        <v>46043</v>
      </c>
      <c r="I444" s="67" t="inlineStr">
        <is>
          <t>5260623-93.2023.8.21.0001</t>
        </is>
      </c>
      <c r="J444" s="67" t="inlineStr">
        <is>
          <t>Prazo</t>
        </is>
      </c>
      <c r="K444" s="62" t="n">
        <v>46045</v>
      </c>
      <c r="L444" s="67" t="inlineStr">
        <is>
          <t xml:space="preserve">Alexia </t>
        </is>
      </c>
      <c r="M444" s="40" t="inlineStr">
        <is>
          <t>Cumprido</t>
        </is>
      </c>
      <c r="N444" s="62" t="n">
        <v>46045</v>
      </c>
      <c r="O444" s="67" t="inlineStr">
        <is>
          <t>Prazo Leandro azambuja</t>
        </is>
      </c>
    </row>
    <row r="445">
      <c r="A445" s="40" t="n"/>
      <c r="B445" s="40" t="inlineStr">
        <is>
          <t>Outras</t>
        </is>
      </c>
      <c r="D445" s="67" t="inlineStr">
        <is>
          <t>Marelize Controladoria</t>
        </is>
      </c>
      <c r="E445" s="62" t="n">
        <v>46072</v>
      </c>
      <c r="I445" s="67" t="inlineStr">
        <is>
          <t>5010232-09.2025.8.24.0020</t>
        </is>
      </c>
      <c r="J445" s="67" t="inlineStr">
        <is>
          <t>Prazo</t>
        </is>
      </c>
      <c r="K445" s="62" t="n">
        <v>46045</v>
      </c>
      <c r="L445" s="67" t="inlineStr">
        <is>
          <t xml:space="preserve">Alexia </t>
        </is>
      </c>
      <c r="M445" s="40" t="inlineStr">
        <is>
          <t>Cumprido</t>
        </is>
      </c>
      <c r="N445" s="62" t="n">
        <v>46045</v>
      </c>
      <c r="O445" s="67" t="inlineStr">
        <is>
          <t xml:space="preserve">Prazo PF 23/01 </t>
        </is>
      </c>
    </row>
    <row r="446">
      <c r="A446" s="40" t="n"/>
      <c r="B446" s="40" t="inlineStr">
        <is>
          <t>Outras</t>
        </is>
      </c>
      <c r="D446" s="67" t="inlineStr">
        <is>
          <t>Marelize Controladoria</t>
        </is>
      </c>
      <c r="E446" s="62" t="n">
        <v>46069</v>
      </c>
      <c r="I446" s="67" t="inlineStr">
        <is>
          <t>5001161-65.2025.8.24.0025</t>
        </is>
      </c>
      <c r="J446" s="67" t="inlineStr">
        <is>
          <t>Prazo</t>
        </is>
      </c>
      <c r="K446" s="62" t="n">
        <v>46045</v>
      </c>
      <c r="L446" s="67" t="inlineStr">
        <is>
          <t>Marelize Controladoria</t>
        </is>
      </c>
      <c r="M446" s="40" t="inlineStr">
        <is>
          <t>Cumprido</t>
        </is>
      </c>
      <c r="N446" s="62" t="n">
        <v>46045</v>
      </c>
      <c r="O446" s="67" t="inlineStr">
        <is>
          <t>Prazo sentença</t>
        </is>
      </c>
    </row>
    <row r="447">
      <c r="A447" s="40" t="inlineStr">
        <is>
          <t>5007011-18.2025.8.24.0020</t>
        </is>
      </c>
      <c r="B447" s="40" t="inlineStr">
        <is>
          <t>Outras</t>
        </is>
      </c>
      <c r="D447" s="67" t="inlineStr">
        <is>
          <t>Renata Francisco Becker</t>
        </is>
      </c>
      <c r="E447" s="62" t="n">
        <v>45891</v>
      </c>
      <c r="F447" s="67" t="inlineStr">
        <is>
          <t>Vara Cível</t>
        </is>
      </c>
      <c r="I447" s="67" t="inlineStr">
        <is>
          <t>5063316-82.2025.8.24.0000</t>
        </is>
      </c>
      <c r="J447" s="67" t="inlineStr">
        <is>
          <t>Prazo</t>
        </is>
      </c>
      <c r="K447" s="62" t="n">
        <v>46045</v>
      </c>
      <c r="L447" s="67" t="inlineStr">
        <is>
          <t>Jessica</t>
        </is>
      </c>
      <c r="M447" s="40" t="inlineStr">
        <is>
          <t>Cumprido</t>
        </is>
      </c>
      <c r="N447" s="62" t="n">
        <v>46045</v>
      </c>
      <c r="O447" s="67" t="inlineStr">
        <is>
          <t>Prazo sessão. trib</t>
        </is>
      </c>
    </row>
    <row r="448">
      <c r="A448" s="40" t="inlineStr">
        <is>
          <t>5014179-44.2025.4.04.7204</t>
        </is>
      </c>
      <c r="B448" s="40" t="inlineStr">
        <is>
          <t>Outras</t>
        </is>
      </c>
      <c r="D448" s="67" t="inlineStr">
        <is>
          <t>Renata Francisco Becker</t>
        </is>
      </c>
      <c r="E448" s="62" t="n">
        <v>45860</v>
      </c>
      <c r="F448" s="67" t="inlineStr">
        <is>
          <t>Vara Federal</t>
        </is>
      </c>
      <c r="I448" s="67" t="inlineStr"/>
      <c r="J448" s="67" t="inlineStr">
        <is>
          <t>Tarefa</t>
        </is>
      </c>
      <c r="K448" s="62" t="n">
        <v>46045</v>
      </c>
      <c r="L448" s="67" t="inlineStr">
        <is>
          <t xml:space="preserve">Lucas </t>
        </is>
      </c>
      <c r="M448" s="40" t="inlineStr">
        <is>
          <t>Cumprido</t>
        </is>
      </c>
      <c r="N448" s="62" t="n">
        <v>46045</v>
      </c>
      <c r="O448" s="67" t="inlineStr">
        <is>
          <t>23/01/2026 - CONFERIR ATIVIDADES MONITORADAS</t>
        </is>
      </c>
    </row>
    <row r="449">
      <c r="A449" s="40" t="inlineStr">
        <is>
          <t>5040963-76.2025.8.24.0023</t>
        </is>
      </c>
      <c r="B449" s="40" t="inlineStr">
        <is>
          <t>Outras</t>
        </is>
      </c>
      <c r="D449" s="67" t="inlineStr">
        <is>
          <t xml:space="preserve">Lucas </t>
        </is>
      </c>
      <c r="E449" s="62" t="n">
        <v>45938</v>
      </c>
      <c r="F449" s="67" t="inlineStr">
        <is>
          <t>Juizo da Unidade Regional de Execuções Fiscais Municipais da Comarca da Capital</t>
        </is>
      </c>
      <c r="I449" s="67" t="inlineStr">
        <is>
          <t>0000500-51.2025.5.12.0060</t>
        </is>
      </c>
      <c r="J449" s="67" t="inlineStr">
        <is>
          <t>Tarefa</t>
        </is>
      </c>
      <c r="K449" s="62" t="n">
        <v>46045</v>
      </c>
      <c r="L449" s="67" t="inlineStr">
        <is>
          <t>Luci</t>
        </is>
      </c>
      <c r="M449" s="40" t="inlineStr">
        <is>
          <t>Cumprido</t>
        </is>
      </c>
      <c r="N449" s="62" t="n">
        <v>46045</v>
      </c>
      <c r="O449" s="67" t="inlineStr">
        <is>
          <t>Elaboração</t>
        </is>
      </c>
    </row>
    <row r="450">
      <c r="A450" s="40" t="inlineStr">
        <is>
          <t>5010232-09.2025.8.24.0020</t>
        </is>
      </c>
      <c r="B450" s="40" t="inlineStr">
        <is>
          <t>Outras</t>
        </is>
      </c>
      <c r="D450" s="67" t="inlineStr">
        <is>
          <t>Renata Francisco Becker</t>
        </is>
      </c>
      <c r="E450" s="62" t="n">
        <v>45813</v>
      </c>
      <c r="F450" s="67" t="inlineStr"/>
      <c r="I450" s="67" t="inlineStr">
        <is>
          <t>5023319-32.2025.8.24.0020</t>
        </is>
      </c>
      <c r="J450" s="67" t="inlineStr">
        <is>
          <t>Tarefa</t>
        </is>
      </c>
      <c r="K450" s="62" t="n">
        <v>46045</v>
      </c>
      <c r="L450" s="67" t="inlineStr">
        <is>
          <t xml:space="preserve">Alexia </t>
        </is>
      </c>
      <c r="M450" s="40" t="inlineStr">
        <is>
          <t>Cumprido</t>
        </is>
      </c>
      <c r="N450" s="62" t="n">
        <v>46045</v>
      </c>
      <c r="O450" s="67" t="inlineStr">
        <is>
          <t>Elaboração</t>
        </is>
      </c>
    </row>
    <row r="451">
      <c r="A451" s="40" t="n"/>
      <c r="B451" s="40" t="inlineStr">
        <is>
          <t>Outras</t>
        </is>
      </c>
      <c r="D451" s="67" t="inlineStr">
        <is>
          <t>Marelize Controladoria</t>
        </is>
      </c>
      <c r="E451" s="62" t="n">
        <v>46057</v>
      </c>
      <c r="I451" s="67" t="inlineStr">
        <is>
          <t>5260623-93.2023.8.21.0001</t>
        </is>
      </c>
      <c r="J451" s="67" t="inlineStr">
        <is>
          <t>Tarefa</t>
        </is>
      </c>
      <c r="K451" s="62" t="n">
        <v>46045</v>
      </c>
      <c r="L451" s="67" t="inlineStr">
        <is>
          <t>Renata Francisco Becker</t>
        </is>
      </c>
      <c r="M451" s="40" t="inlineStr">
        <is>
          <t>Cumprido</t>
        </is>
      </c>
      <c r="N451" s="62" t="n">
        <v>46045</v>
      </c>
      <c r="O451" s="67" t="inlineStr">
        <is>
          <t>Elaboração</t>
        </is>
      </c>
    </row>
    <row r="452">
      <c r="A452" s="40" t="n"/>
      <c r="B452" s="40" t="inlineStr">
        <is>
          <t>Outras</t>
        </is>
      </c>
      <c r="D452" s="67" t="inlineStr">
        <is>
          <t>Marelize Controladoria</t>
        </is>
      </c>
      <c r="E452" s="62" t="n">
        <v>46071</v>
      </c>
      <c r="I452" s="67" t="inlineStr">
        <is>
          <t>5029283-06.2025.8.24.0020</t>
        </is>
      </c>
      <c r="J452" s="67" t="inlineStr">
        <is>
          <t>Tarefa</t>
        </is>
      </c>
      <c r="K452" s="62" t="n">
        <v>46045</v>
      </c>
      <c r="L452" s="67" t="inlineStr">
        <is>
          <t xml:space="preserve">Alexia </t>
        </is>
      </c>
      <c r="M452" s="40" t="inlineStr">
        <is>
          <t>Cumprido</t>
        </is>
      </c>
      <c r="N452" s="62" t="n">
        <v>46045</v>
      </c>
      <c r="O452" s="67" t="inlineStr">
        <is>
          <t>Elaboração</t>
        </is>
      </c>
    </row>
    <row r="453">
      <c r="A453" s="40" t="inlineStr">
        <is>
          <t>0001380-58.2025.5.12.0055</t>
        </is>
      </c>
      <c r="B453" s="40" t="inlineStr">
        <is>
          <t>Outras</t>
        </is>
      </c>
      <c r="D453" s="67" t="inlineStr">
        <is>
          <t>Renata Francisco Becker</t>
        </is>
      </c>
      <c r="E453" s="62" t="n">
        <v>45954</v>
      </c>
      <c r="F453" s="67" t="inlineStr"/>
      <c r="I453" s="67" t="inlineStr">
        <is>
          <t>5003445-90.2025.8.24.0075</t>
        </is>
      </c>
      <c r="J453" s="67" t="inlineStr">
        <is>
          <t>Tarefa</t>
        </is>
      </c>
      <c r="K453" s="62" t="n">
        <v>46045</v>
      </c>
      <c r="L453" s="67" t="inlineStr">
        <is>
          <t>Jessica</t>
        </is>
      </c>
      <c r="M453" s="40" t="inlineStr">
        <is>
          <t>Cumprido</t>
        </is>
      </c>
      <c r="N453" s="62" t="n">
        <v>46045</v>
      </c>
      <c r="O453" s="67" t="inlineStr">
        <is>
          <t>Protocolo</t>
        </is>
      </c>
    </row>
    <row r="454">
      <c r="A454" s="40" t="inlineStr">
        <is>
          <t>5004890-17.2025.8.21.0047</t>
        </is>
      </c>
      <c r="B454" s="40" t="inlineStr">
        <is>
          <t>Outras</t>
        </is>
      </c>
      <c r="D454" s="67" t="inlineStr">
        <is>
          <t>Renata Francisco Becker</t>
        </is>
      </c>
      <c r="E454" s="62" t="n">
        <v>45960</v>
      </c>
      <c r="F454" s="67" t="inlineStr">
        <is>
          <t>Vara Cível</t>
        </is>
      </c>
      <c r="I454" s="67" t="inlineStr">
        <is>
          <t>50061370320258240030</t>
        </is>
      </c>
      <c r="J454" s="67" t="inlineStr">
        <is>
          <t>Tarefa</t>
        </is>
      </c>
      <c r="K454" s="62" t="n">
        <v>46045</v>
      </c>
      <c r="L454" s="67" t="inlineStr">
        <is>
          <t>Renata Francisco Becker</t>
        </is>
      </c>
      <c r="M454" s="40" t="inlineStr">
        <is>
          <t>Cumprido</t>
        </is>
      </c>
      <c r="N454" s="62" t="n">
        <v>46045</v>
      </c>
      <c r="O454" s="67" t="inlineStr">
        <is>
          <t>Protocolo</t>
        </is>
      </c>
    </row>
    <row r="455">
      <c r="A455" s="40" t="n"/>
      <c r="B455" s="40" t="inlineStr">
        <is>
          <t>Outras</t>
        </is>
      </c>
      <c r="D455" s="67" t="inlineStr">
        <is>
          <t>Marelize Controladoria</t>
        </is>
      </c>
      <c r="E455" s="62" t="n">
        <v>46066</v>
      </c>
      <c r="I455" s="67" t="inlineStr">
        <is>
          <t>0000958-45.2025.512.0003</t>
        </is>
      </c>
      <c r="J455" s="67" t="inlineStr">
        <is>
          <t>Tarefa</t>
        </is>
      </c>
      <c r="K455" s="62" t="n">
        <v>46045</v>
      </c>
      <c r="L455" s="67" t="inlineStr">
        <is>
          <t>Luci</t>
        </is>
      </c>
      <c r="M455" s="40" t="inlineStr">
        <is>
          <t>Cumprido</t>
        </is>
      </c>
      <c r="N455" s="62" t="n">
        <v>46045</v>
      </c>
      <c r="O455" s="67" t="inlineStr">
        <is>
          <t>Protocolo</t>
        </is>
      </c>
    </row>
    <row r="456">
      <c r="A456" s="40" t="inlineStr">
        <is>
          <t>5018910-04.2025.8.24.0023</t>
        </is>
      </c>
      <c r="B456" s="40" t="inlineStr">
        <is>
          <t>Outras</t>
        </is>
      </c>
      <c r="D456" s="67" t="inlineStr">
        <is>
          <t>Renata Francisco Becker</t>
        </is>
      </c>
      <c r="E456" s="62" t="n">
        <v>45754</v>
      </c>
      <c r="F456" s="67" t="inlineStr">
        <is>
          <t>3° juizo da unidade regional de execuções fiscais</t>
        </is>
      </c>
      <c r="I456" s="67" t="inlineStr">
        <is>
          <t>5023319-32.2025.8.24.0020</t>
        </is>
      </c>
      <c r="J456" s="67" t="inlineStr">
        <is>
          <t>Tarefa</t>
        </is>
      </c>
      <c r="K456" s="62" t="n">
        <v>46045</v>
      </c>
      <c r="L456" s="67" t="inlineStr">
        <is>
          <t xml:space="preserve">Alexia </t>
        </is>
      </c>
      <c r="M456" s="40" t="inlineStr">
        <is>
          <t>Cumprido</t>
        </is>
      </c>
      <c r="N456" s="62" t="n">
        <v>46045</v>
      </c>
      <c r="O456" s="67" t="inlineStr">
        <is>
          <t>Revisão</t>
        </is>
      </c>
    </row>
    <row r="457">
      <c r="A457" s="40" t="n"/>
      <c r="B457" s="40" t="inlineStr">
        <is>
          <t>Outras</t>
        </is>
      </c>
      <c r="D457" s="67" t="inlineStr">
        <is>
          <t>Marelize Controladoria</t>
        </is>
      </c>
      <c r="E457" s="62" t="n">
        <v>46065</v>
      </c>
      <c r="I457" s="67" t="inlineStr">
        <is>
          <t>0001725-11.2025.5.12.0027</t>
        </is>
      </c>
      <c r="J457" s="67" t="inlineStr">
        <is>
          <t>Tarefa</t>
        </is>
      </c>
      <c r="K457" s="62" t="n">
        <v>46045</v>
      </c>
      <c r="L457" s="67" t="inlineStr">
        <is>
          <t>Luci</t>
        </is>
      </c>
      <c r="M457" s="40" t="inlineStr">
        <is>
          <t>Cumprido</t>
        </is>
      </c>
      <c r="N457" s="62" t="n">
        <v>46045</v>
      </c>
      <c r="O457" s="67" t="inlineStr">
        <is>
          <t>Revisão</t>
        </is>
      </c>
    </row>
    <row r="458">
      <c r="A458" s="40" t="n"/>
      <c r="B458" s="40" t="inlineStr">
        <is>
          <t>Outras</t>
        </is>
      </c>
      <c r="D458" s="67" t="inlineStr">
        <is>
          <t>Marelize Controladoria</t>
        </is>
      </c>
      <c r="E458" s="62" t="n">
        <v>46062</v>
      </c>
      <c r="I458" s="67" t="inlineStr">
        <is>
          <t>0001360-54.2025.5.12.0027</t>
        </is>
      </c>
      <c r="J458" s="67" t="inlineStr">
        <is>
          <t>Tarefa</t>
        </is>
      </c>
      <c r="K458" s="62" t="n">
        <v>46045</v>
      </c>
      <c r="L458" s="67" t="inlineStr">
        <is>
          <t>Luci</t>
        </is>
      </c>
      <c r="M458" s="40" t="inlineStr">
        <is>
          <t>Cumprido</t>
        </is>
      </c>
      <c r="N458" s="62" t="n">
        <v>46045</v>
      </c>
      <c r="O458" s="67" t="inlineStr">
        <is>
          <t>Revisão</t>
        </is>
      </c>
    </row>
    <row r="459">
      <c r="A459" s="40" t="inlineStr">
        <is>
          <t>8161486-68.2022.8.05.0001</t>
        </is>
      </c>
      <c r="B459" s="40" t="inlineStr">
        <is>
          <t>Outras</t>
        </is>
      </c>
      <c r="D459" s="67" t="inlineStr">
        <is>
          <t>Renata Francisco Becker</t>
        </is>
      </c>
      <c r="E459" s="62" t="n">
        <v>44874</v>
      </c>
      <c r="I459" s="67" t="inlineStr">
        <is>
          <t>0001360-54.2025.5.12.0027</t>
        </is>
      </c>
      <c r="J459" s="67" t="inlineStr">
        <is>
          <t>Tarefa</t>
        </is>
      </c>
      <c r="K459" s="62" t="n">
        <v>46045</v>
      </c>
      <c r="L459" s="67" t="inlineStr">
        <is>
          <t>Luci</t>
        </is>
      </c>
      <c r="M459" s="40" t="inlineStr">
        <is>
          <t>Cumprido</t>
        </is>
      </c>
      <c r="N459" s="62" t="n">
        <v>46045</v>
      </c>
      <c r="O459" s="67" t="inlineStr">
        <is>
          <t>Revisão</t>
        </is>
      </c>
    </row>
    <row r="460">
      <c r="A460" s="40" t="n"/>
      <c r="B460" s="40" t="inlineStr">
        <is>
          <t>Outras</t>
        </is>
      </c>
      <c r="D460" s="67" t="inlineStr">
        <is>
          <t>Renata Francisco Becker</t>
        </is>
      </c>
      <c r="E460" s="62" t="n">
        <v>45951</v>
      </c>
      <c r="I460" s="67" t="inlineStr"/>
      <c r="J460" s="67" t="inlineStr">
        <is>
          <t>Tarefa</t>
        </is>
      </c>
      <c r="K460" s="62" t="n">
        <v>46045</v>
      </c>
      <c r="L460" s="67" t="inlineStr">
        <is>
          <t>Julia</t>
        </is>
      </c>
      <c r="M460" s="40" t="inlineStr">
        <is>
          <t>Cumprido</t>
        </is>
      </c>
      <c r="N460" s="62" t="n">
        <v>46045</v>
      </c>
      <c r="O460" s="67" t="inlineStr">
        <is>
          <t>23/01/2026 - Verificar atividades monitoradas</t>
        </is>
      </c>
    </row>
    <row r="461">
      <c r="A461" s="40" t="n"/>
      <c r="B461" s="40" t="inlineStr">
        <is>
          <t>Outras</t>
        </is>
      </c>
      <c r="D461" s="67" t="inlineStr">
        <is>
          <t>Marelize Controladoria</t>
        </is>
      </c>
      <c r="E461" s="62" t="n">
        <v>46063</v>
      </c>
      <c r="I461" s="67" t="inlineStr">
        <is>
          <t>5008261-61.2019.8.24.0064</t>
        </is>
      </c>
      <c r="J461" s="67" t="inlineStr">
        <is>
          <t>Tarefa</t>
        </is>
      </c>
      <c r="K461" s="62" t="n">
        <v>46045</v>
      </c>
      <c r="L461" s="67" t="inlineStr">
        <is>
          <t>Marelize Controladoria</t>
        </is>
      </c>
      <c r="M461" s="40" t="inlineStr">
        <is>
          <t>Cumprido</t>
        </is>
      </c>
      <c r="N461" s="62" t="n">
        <v>46045</v>
      </c>
      <c r="O461" s="67" t="inlineStr">
        <is>
          <t>Acompanhar quando transitar em julgado, para entrar com uma ação de obrigação de fazer para transferir o veiculo para o nome dela. (Alexia)</t>
        </is>
      </c>
    </row>
    <row r="462">
      <c r="A462" s="40" t="n"/>
      <c r="B462" s="40" t="inlineStr">
        <is>
          <t>Outras</t>
        </is>
      </c>
      <c r="D462" s="67" t="inlineStr">
        <is>
          <t>Luci</t>
        </is>
      </c>
      <c r="E462" s="62" t="n">
        <v>45684</v>
      </c>
      <c r="I462" s="67" t="inlineStr"/>
      <c r="J462" s="67" t="inlineStr">
        <is>
          <t>Tarefa</t>
        </is>
      </c>
      <c r="K462" s="62" t="n">
        <v>46045</v>
      </c>
      <c r="L462" s="67" t="inlineStr">
        <is>
          <t>Marelize Controladoria</t>
        </is>
      </c>
      <c r="M462" s="40" t="inlineStr">
        <is>
          <t>Cumprido</t>
        </is>
      </c>
      <c r="N462" s="62" t="n">
        <v>46045</v>
      </c>
      <c r="O462" s="67" t="inlineStr">
        <is>
          <t>Agendar atendimento com Maria Arns</t>
        </is>
      </c>
    </row>
    <row r="463">
      <c r="A463" s="40" t="n"/>
      <c r="B463" s="40" t="inlineStr">
        <is>
          <t>Outras</t>
        </is>
      </c>
      <c r="D463" s="67" t="inlineStr">
        <is>
          <t>Luci</t>
        </is>
      </c>
      <c r="E463" s="62" t="n">
        <v>46009</v>
      </c>
      <c r="I463" s="67" t="inlineStr"/>
      <c r="J463" s="67" t="inlineStr">
        <is>
          <t>Tarefa</t>
        </is>
      </c>
      <c r="K463" s="62" t="n">
        <v>46045</v>
      </c>
      <c r="L463" s="67" t="inlineStr">
        <is>
          <t>Pedro Victor</t>
        </is>
      </c>
      <c r="M463" s="40" t="inlineStr">
        <is>
          <t>Cumprido</t>
        </is>
      </c>
      <c r="N463" s="62" t="n">
        <v>46045</v>
      </c>
      <c r="O463" s="67" t="inlineStr">
        <is>
          <t xml:space="preserve">Agendar Ramom </t>
        </is>
      </c>
    </row>
    <row r="464">
      <c r="A464" s="40" t="n"/>
      <c r="B464" s="40" t="inlineStr">
        <is>
          <t>Outras</t>
        </is>
      </c>
      <c r="D464" s="67" t="inlineStr">
        <is>
          <t>Marelize Controladoria</t>
        </is>
      </c>
      <c r="E464" s="62" t="n">
        <v>46065</v>
      </c>
      <c r="I464" s="67" t="inlineStr">
        <is>
          <t>5001161-65.2025.8.24.0025</t>
        </is>
      </c>
      <c r="J464" s="67" t="inlineStr">
        <is>
          <t>Tarefa</t>
        </is>
      </c>
      <c r="K464" s="62" t="n">
        <v>46045</v>
      </c>
      <c r="L464" s="67" t="inlineStr">
        <is>
          <t xml:space="preserve">Alexia </t>
        </is>
      </c>
      <c r="M464" s="40" t="inlineStr">
        <is>
          <t>Cumprido</t>
        </is>
      </c>
      <c r="N464" s="62" t="n">
        <v>46045</v>
      </c>
      <c r="O464" s="67" t="inlineStr">
        <is>
          <t xml:space="preserve">Alexia verificar se é necessário embargar a decisão. </t>
        </is>
      </c>
    </row>
    <row r="465">
      <c r="A465" s="40" t="n"/>
      <c r="B465" s="40" t="inlineStr">
        <is>
          <t>Outras</t>
        </is>
      </c>
      <c r="D465" s="67" t="inlineStr">
        <is>
          <t>Marelize Controladoria</t>
        </is>
      </c>
      <c r="E465" s="62" t="n">
        <v>46064</v>
      </c>
      <c r="I465" s="67" t="inlineStr">
        <is>
          <t>5010232-09.2025.8.24.0020</t>
        </is>
      </c>
      <c r="J465" s="67" t="inlineStr">
        <is>
          <t>Tarefa</t>
        </is>
      </c>
      <c r="K465" s="62" t="n">
        <v>46045</v>
      </c>
      <c r="L465" s="67" t="inlineStr">
        <is>
          <t>Marelize Controladoria</t>
        </is>
      </c>
      <c r="M465" s="40" t="inlineStr">
        <is>
          <t>Cumprido</t>
        </is>
      </c>
      <c r="N465" s="62" t="n">
        <v>46045</v>
      </c>
      <c r="O465" s="67" t="inlineStr">
        <is>
          <t>Anotar na agenda física.</t>
        </is>
      </c>
    </row>
    <row r="466">
      <c r="A466" s="40" t="inlineStr">
        <is>
          <t>0001478-43.2025.5.12.0055</t>
        </is>
      </c>
      <c r="B466" s="40" t="inlineStr">
        <is>
          <t>Outras</t>
        </is>
      </c>
      <c r="D466" s="67" t="inlineStr">
        <is>
          <t>Renata Francisco Becker</t>
        </is>
      </c>
      <c r="E466" s="62" t="n">
        <v>45890</v>
      </c>
      <c r="F466" s="67" t="inlineStr">
        <is>
          <t>3ª VARA DO TRABALHO DE CRICIÚMA</t>
        </is>
      </c>
      <c r="I466" s="67" t="inlineStr">
        <is>
          <t>0300494-97.2016.8.24.0028</t>
        </is>
      </c>
      <c r="J466" s="67" t="inlineStr">
        <is>
          <t>Tarefa</t>
        </is>
      </c>
      <c r="K466" s="62" t="n">
        <v>46045</v>
      </c>
      <c r="L466" s="67" t="inlineStr">
        <is>
          <t>Marelize Controladoria</t>
        </is>
      </c>
      <c r="M466" s="40" t="inlineStr">
        <is>
          <t>Cumprido</t>
        </is>
      </c>
      <c r="N466" s="62" t="n">
        <v>46045</v>
      </c>
      <c r="O466" s="67" t="inlineStr">
        <is>
          <t>Avisar cliente da audiencia.</t>
        </is>
      </c>
    </row>
    <row r="467">
      <c r="A467" s="40" t="n"/>
      <c r="B467" s="40" t="inlineStr">
        <is>
          <t>Outras</t>
        </is>
      </c>
      <c r="D467" s="67" t="inlineStr">
        <is>
          <t>Pedro Victor</t>
        </is>
      </c>
      <c r="E467" s="62" t="n">
        <v>45432</v>
      </c>
      <c r="I467" s="67" t="inlineStr"/>
      <c r="J467" s="67" t="inlineStr">
        <is>
          <t>Tarefa</t>
        </is>
      </c>
      <c r="K467" s="62" t="n">
        <v>46045</v>
      </c>
      <c r="L467" s="67" t="inlineStr">
        <is>
          <t>Pedro Victor</t>
        </is>
      </c>
      <c r="M467" s="40" t="inlineStr">
        <is>
          <t>Cumprido</t>
        </is>
      </c>
      <c r="N467" s="62" t="n">
        <v>46045</v>
      </c>
      <c r="O467" s="67" t="inlineStr">
        <is>
          <t xml:space="preserve">Cadastrar Cresci Goiania </t>
        </is>
      </c>
    </row>
    <row r="468">
      <c r="A468" s="40" t="n"/>
      <c r="B468" s="40" t="inlineStr">
        <is>
          <t>Outras</t>
        </is>
      </c>
      <c r="D468" s="67" t="inlineStr">
        <is>
          <t>Marelize Controladoria</t>
        </is>
      </c>
      <c r="E468" s="62" t="n">
        <v>46044</v>
      </c>
      <c r="I468" s="67" t="inlineStr">
        <is>
          <t>5005212-03.2026.8.24.0020</t>
        </is>
      </c>
      <c r="J468" s="67" t="inlineStr">
        <is>
          <t>Tarefa</t>
        </is>
      </c>
      <c r="K468" s="62" t="n">
        <v>46045</v>
      </c>
      <c r="L468" s="67" t="inlineStr">
        <is>
          <t>Julia</t>
        </is>
      </c>
      <c r="M468" s="40" t="inlineStr">
        <is>
          <t>Cumprido</t>
        </is>
      </c>
      <c r="N468" s="62" t="n">
        <v>46045</v>
      </c>
      <c r="O468" s="67" t="inlineStr">
        <is>
          <t>Elaboração</t>
        </is>
      </c>
    </row>
    <row r="469">
      <c r="A469" s="40" t="inlineStr">
        <is>
          <t>5000966-52.2024.8.24.0078</t>
        </is>
      </c>
      <c r="B469" s="40" t="inlineStr">
        <is>
          <t>Outras</t>
        </is>
      </c>
      <c r="D469" s="67" t="inlineStr">
        <is>
          <t>Renata Francisco Becker</t>
        </is>
      </c>
      <c r="E469" s="62" t="n">
        <v>45341</v>
      </c>
      <c r="F469" s="67" t="inlineStr">
        <is>
          <t>Vara Cível</t>
        </is>
      </c>
      <c r="I469" s="67" t="inlineStr"/>
      <c r="J469" s="67" t="inlineStr">
        <is>
          <t>Tarefa</t>
        </is>
      </c>
      <c r="K469" s="62" t="n">
        <v>46045</v>
      </c>
      <c r="L469" s="67" t="inlineStr">
        <is>
          <t>Julia</t>
        </is>
      </c>
      <c r="M469" s="40" t="inlineStr">
        <is>
          <t>Cumprido</t>
        </is>
      </c>
      <c r="N469" s="62" t="n">
        <v>46045</v>
      </c>
      <c r="O469" s="67" t="inlineStr">
        <is>
          <t>Elaboração</t>
        </is>
      </c>
    </row>
    <row r="470">
      <c r="A470" s="40" t="inlineStr">
        <is>
          <t>5023246-82.2023.4.04.0000</t>
        </is>
      </c>
      <c r="B470" s="40" t="inlineStr">
        <is>
          <t>Outras</t>
        </is>
      </c>
      <c r="D470" s="67" t="inlineStr">
        <is>
          <t>Renata Francisco Becker</t>
        </is>
      </c>
      <c r="E470" s="62" t="n">
        <v>45350</v>
      </c>
      <c r="F470" s="67" t="inlineStr">
        <is>
          <t>GAB. 121 (Des. Federal JOÃO PEDRO GEBRAN NETO)</t>
        </is>
      </c>
      <c r="I470" s="67" t="inlineStr"/>
      <c r="J470" s="67" t="inlineStr">
        <is>
          <t>Tarefa</t>
        </is>
      </c>
      <c r="K470" s="62" t="n">
        <v>46045</v>
      </c>
      <c r="L470" s="67" t="inlineStr">
        <is>
          <t>Luci</t>
        </is>
      </c>
      <c r="M470" s="40" t="inlineStr">
        <is>
          <t>Cumprido</t>
        </is>
      </c>
      <c r="N470" s="62" t="n">
        <v>46045</v>
      </c>
      <c r="O470" s="67" t="inlineStr">
        <is>
          <t>Elaboração</t>
        </is>
      </c>
    </row>
    <row r="471">
      <c r="A471" s="40" t="n"/>
      <c r="B471" s="40" t="inlineStr">
        <is>
          <t>Outras</t>
        </is>
      </c>
      <c r="D471" s="67" t="inlineStr">
        <is>
          <t>Marelize Controladoria</t>
        </is>
      </c>
      <c r="E471" s="62" t="n">
        <v>46056</v>
      </c>
      <c r="I471" s="67" t="inlineStr"/>
      <c r="J471" s="67" t="inlineStr">
        <is>
          <t>Tarefa</t>
        </is>
      </c>
      <c r="K471" s="62" t="n">
        <v>46045</v>
      </c>
      <c r="L471" s="67" t="inlineStr">
        <is>
          <t>Jessica</t>
        </is>
      </c>
      <c r="M471" s="40" t="inlineStr">
        <is>
          <t>Cumprido</t>
        </is>
      </c>
      <c r="N471" s="62" t="n">
        <v>46045</v>
      </c>
      <c r="O471" s="67" t="inlineStr">
        <is>
          <t>Elaboração de clausula tributária</t>
        </is>
      </c>
    </row>
    <row r="472">
      <c r="A472" s="40" t="n"/>
      <c r="B472" s="40" t="inlineStr">
        <is>
          <t>Outras</t>
        </is>
      </c>
      <c r="D472" s="67" t="inlineStr">
        <is>
          <t>Marelize Controladoria</t>
        </is>
      </c>
      <c r="E472" s="62" t="n">
        <v>46044</v>
      </c>
      <c r="I472" s="67" t="inlineStr"/>
      <c r="J472" s="67" t="inlineStr">
        <is>
          <t>Tarefa</t>
        </is>
      </c>
      <c r="K472" s="62" t="n">
        <v>46045</v>
      </c>
      <c r="L472" s="67" t="inlineStr">
        <is>
          <t>Jessica</t>
        </is>
      </c>
      <c r="M472" s="40" t="inlineStr">
        <is>
          <t>Cumprido</t>
        </is>
      </c>
      <c r="N472" s="62" t="n">
        <v>46045</v>
      </c>
      <c r="O472" s="67" t="inlineStr">
        <is>
          <t xml:space="preserve">fazer levantamento de passivo e simulações de transação tributária </t>
        </is>
      </c>
    </row>
    <row r="473">
      <c r="A473" s="40" t="n"/>
      <c r="B473" s="40" t="inlineStr">
        <is>
          <t>Outras</t>
        </is>
      </c>
      <c r="D473" s="67" t="inlineStr">
        <is>
          <t>Pedro Victor</t>
        </is>
      </c>
      <c r="E473" s="62" t="n">
        <v>45981</v>
      </c>
      <c r="I473" s="67" t="inlineStr"/>
      <c r="J473" s="67" t="inlineStr">
        <is>
          <t>Tarefa</t>
        </is>
      </c>
      <c r="K473" s="62" t="n">
        <v>46045</v>
      </c>
      <c r="L473" s="67" t="inlineStr">
        <is>
          <t>Marelize Controladoria</t>
        </is>
      </c>
      <c r="M473" s="40" t="inlineStr">
        <is>
          <t>Cumprido</t>
        </is>
      </c>
      <c r="N473" s="62" t="n">
        <v>46045</v>
      </c>
      <c r="O473" s="67" t="inlineStr">
        <is>
          <t>Fazer POP da nova empresa, Cresci Perdi Goiania</t>
        </is>
      </c>
    </row>
    <row r="474">
      <c r="A474" s="40" t="inlineStr">
        <is>
          <t>5012166-82.2019.4.04.7204</t>
        </is>
      </c>
      <c r="B474" s="40" t="inlineStr">
        <is>
          <t>Outras</t>
        </is>
      </c>
      <c r="D474" s="67" t="inlineStr">
        <is>
          <t>Renata Francisco Becker</t>
        </is>
      </c>
      <c r="E474" s="62" t="n">
        <v>44706</v>
      </c>
      <c r="F474" s="67" t="inlineStr">
        <is>
          <t>Juízo Federal da 1ª VF de Tubarão</t>
        </is>
      </c>
      <c r="I474" s="67" t="inlineStr"/>
      <c r="J474" s="67" t="inlineStr">
        <is>
          <t>Tarefa</t>
        </is>
      </c>
      <c r="K474" s="62" t="n">
        <v>46045</v>
      </c>
      <c r="L474" s="67" t="inlineStr">
        <is>
          <t>Julia</t>
        </is>
      </c>
      <c r="M474" s="40" t="inlineStr">
        <is>
          <t>Cumprido</t>
        </is>
      </c>
      <c r="N474" s="62" t="n">
        <v>46045</v>
      </c>
      <c r="O474" s="67" t="inlineStr">
        <is>
          <t>Finalização</t>
        </is>
      </c>
    </row>
    <row r="475">
      <c r="A475" s="40" t="inlineStr">
        <is>
          <t>5001263-97.2026.8.24.0075</t>
        </is>
      </c>
      <c r="B475" s="40" t="inlineStr">
        <is>
          <t>Outras</t>
        </is>
      </c>
      <c r="D475" s="67" t="inlineStr">
        <is>
          <t>Marelize Controladoria</t>
        </is>
      </c>
      <c r="E475" s="62" t="n">
        <v>46058</v>
      </c>
      <c r="F475" s="67" t="inlineStr">
        <is>
          <t>Juízo da 3ª Vara Cível da Comarca de Tubarão</t>
        </is>
      </c>
      <c r="I475" s="67" t="inlineStr">
        <is>
          <t>5028207-44.2025.8.24.0020</t>
        </is>
      </c>
      <c r="J475" s="67" t="inlineStr">
        <is>
          <t>Tarefa</t>
        </is>
      </c>
      <c r="K475" s="62" t="n">
        <v>46045</v>
      </c>
      <c r="L475" s="67" t="inlineStr">
        <is>
          <t>Marelize Controladoria</t>
        </is>
      </c>
      <c r="M475" s="40" t="inlineStr">
        <is>
          <t>Cumprido</t>
        </is>
      </c>
      <c r="N475" s="62" t="n">
        <v>46045</v>
      </c>
      <c r="O475" s="67" t="inlineStr">
        <is>
          <t>Lançar agendas físicas.</t>
        </is>
      </c>
    </row>
    <row r="476">
      <c r="A476" s="40" t="inlineStr">
        <is>
          <t>50178045020248240020</t>
        </is>
      </c>
      <c r="B476" s="40" t="inlineStr">
        <is>
          <t>Outras</t>
        </is>
      </c>
      <c r="D476" s="67" t="inlineStr">
        <is>
          <t>Marelize Controladoria</t>
        </is>
      </c>
      <c r="E476" s="62" t="n">
        <v>46057</v>
      </c>
      <c r="F476" s="67" t="inlineStr">
        <is>
          <t>Juízo do Juizado Especial Cível da Comarca de Criciúma</t>
        </is>
      </c>
      <c r="I476" s="67" t="inlineStr"/>
      <c r="J476" s="67" t="inlineStr">
        <is>
          <t>Tarefa</t>
        </is>
      </c>
      <c r="K476" s="62" t="n">
        <v>46045</v>
      </c>
      <c r="L476" s="67" t="inlineStr">
        <is>
          <t>Pedro Victor</t>
        </is>
      </c>
      <c r="M476" s="40" t="inlineStr">
        <is>
          <t>Cumprido</t>
        </is>
      </c>
      <c r="N476" s="62" t="n">
        <v>46045</v>
      </c>
      <c r="O476" s="67" t="inlineStr">
        <is>
          <t xml:space="preserve">Lançar financeiro Mari Arns </t>
        </is>
      </c>
    </row>
    <row r="477">
      <c r="A477" s="40" t="inlineStr">
        <is>
          <t>5012262-97.2019.4.04.7204</t>
        </is>
      </c>
      <c r="B477" s="40" t="inlineStr">
        <is>
          <t>Outras</t>
        </is>
      </c>
      <c r="D477" s="67" t="inlineStr">
        <is>
          <t>Renata Francisco Becker</t>
        </is>
      </c>
      <c r="E477" s="62" t="n">
        <v>44707</v>
      </c>
      <c r="F477" s="67" t="inlineStr">
        <is>
          <t>Juízo Substituto da 1ª VF de Tubarão</t>
        </is>
      </c>
      <c r="I477" s="67" t="inlineStr"/>
      <c r="J477" s="67" t="inlineStr">
        <is>
          <t>Tarefa</t>
        </is>
      </c>
      <c r="K477" s="62" t="n">
        <v>46045</v>
      </c>
      <c r="L477" s="67" t="inlineStr">
        <is>
          <t>Jessica</t>
        </is>
      </c>
      <c r="M477" s="40" t="inlineStr">
        <is>
          <t>Cumprido</t>
        </is>
      </c>
      <c r="N477" s="62" t="n">
        <v>46045</v>
      </c>
      <c r="O477" s="67" t="inlineStr">
        <is>
          <t xml:space="preserve">Levantamento de crédito tributário Perdoná Alimentos </t>
        </is>
      </c>
    </row>
    <row r="478">
      <c r="A478" s="40" t="inlineStr">
        <is>
          <t>50078496820248240028</t>
        </is>
      </c>
      <c r="B478" s="40" t="inlineStr">
        <is>
          <t>Outras</t>
        </is>
      </c>
      <c r="D478" s="67" t="inlineStr">
        <is>
          <t>Pedro Victor</t>
        </is>
      </c>
      <c r="E478" s="62" t="n">
        <v>45699</v>
      </c>
      <c r="F478" s="67" t="inlineStr">
        <is>
          <t>Juízo da 1ª Vara Cível da Comarca de Içara</t>
        </is>
      </c>
      <c r="I478" s="67" t="inlineStr"/>
      <c r="J478" s="67" t="inlineStr">
        <is>
          <t>Tarefa</t>
        </is>
      </c>
      <c r="K478" s="62" t="n">
        <v>46045</v>
      </c>
      <c r="L478" s="67" t="inlineStr">
        <is>
          <t>Marelize Controladoria</t>
        </is>
      </c>
      <c r="M478" s="40" t="inlineStr">
        <is>
          <t>Cumprido</t>
        </is>
      </c>
      <c r="N478" s="62" t="n">
        <v>46045</v>
      </c>
      <c r="O478" s="67" t="inlineStr">
        <is>
          <t xml:space="preserve">MMC - CONTRATAÇÃO DE DIARISTAS
 </t>
        </is>
      </c>
    </row>
    <row r="479">
      <c r="A479" s="40" t="n"/>
      <c r="B479" s="40" t="inlineStr">
        <is>
          <t>Outras</t>
        </is>
      </c>
      <c r="D479" s="67" t="inlineStr">
        <is>
          <t>Pedro Victor</t>
        </is>
      </c>
      <c r="E479" s="62" t="n">
        <v>45779</v>
      </c>
      <c r="I479" s="67" t="inlineStr"/>
      <c r="J479" s="67" t="inlineStr">
        <is>
          <t>Evento</t>
        </is>
      </c>
      <c r="K479" s="62" t="n">
        <v>46045</v>
      </c>
      <c r="L479" s="67" t="inlineStr">
        <is>
          <t>Pedro Victor</t>
        </is>
      </c>
      <c r="M479" s="40" t="inlineStr">
        <is>
          <t>Cumprido</t>
        </is>
      </c>
      <c r="N479" s="62" t="n">
        <v>46045</v>
      </c>
      <c r="O479" s="67" t="inlineStr">
        <is>
          <t xml:space="preserve">Apresentação de Assessoria Zampie Transportes </t>
        </is>
      </c>
    </row>
    <row r="480">
      <c r="A480" s="40" t="n"/>
      <c r="B480" s="40" t="inlineStr">
        <is>
          <t>Outras</t>
        </is>
      </c>
      <c r="D480" s="67" t="inlineStr">
        <is>
          <t>Renata Francisco Becker</t>
        </is>
      </c>
      <c r="E480" s="62" t="n">
        <v>45945</v>
      </c>
      <c r="I480" s="67" t="inlineStr"/>
      <c r="J480" s="67" t="inlineStr">
        <is>
          <t>Evento</t>
        </is>
      </c>
      <c r="K480" s="62" t="n">
        <v>46045</v>
      </c>
      <c r="L480" s="67" t="inlineStr">
        <is>
          <t>Pedro Victor</t>
        </is>
      </c>
      <c r="M480" s="40" t="inlineStr">
        <is>
          <t>Cumprido</t>
        </is>
      </c>
      <c r="N480" s="62" t="n">
        <v>46045</v>
      </c>
      <c r="O480" s="67" t="inlineStr">
        <is>
          <t>Apresentação de Assessoria Lídia Turismo</t>
        </is>
      </c>
    </row>
    <row r="481">
      <c r="A481" s="40" t="n"/>
      <c r="B481" s="40" t="inlineStr">
        <is>
          <t>Outras</t>
        </is>
      </c>
      <c r="D481" s="67" t="inlineStr">
        <is>
          <t>Renata Francisco Becker</t>
        </is>
      </c>
      <c r="E481" s="62" t="n">
        <v>45987</v>
      </c>
      <c r="I481" s="67" t="inlineStr"/>
      <c r="J481" s="67" t="inlineStr">
        <is>
          <t>Evento</t>
        </is>
      </c>
      <c r="K481" s="62" t="n">
        <v>46045</v>
      </c>
      <c r="L481" s="67" t="inlineStr">
        <is>
          <t>Marelize Controladoria</t>
        </is>
      </c>
      <c r="M481" s="40" t="inlineStr">
        <is>
          <t>Cumprido</t>
        </is>
      </c>
      <c r="N481" s="62" t="n">
        <v>46045</v>
      </c>
      <c r="O481" s="67" t="inlineStr">
        <is>
          <t>Entrevista com Nathalia - Luci</t>
        </is>
      </c>
    </row>
    <row r="482">
      <c r="A482" s="40" t="inlineStr">
        <is>
          <t>0101784-10.2025.8.24.0710</t>
        </is>
      </c>
      <c r="B482" s="40" t="inlineStr">
        <is>
          <t>Outras</t>
        </is>
      </c>
      <c r="D482" s="67" t="inlineStr">
        <is>
          <t>Marelize Controladoria</t>
        </is>
      </c>
      <c r="E482" s="62" t="n">
        <v>46063</v>
      </c>
      <c r="F482" s="67" t="inlineStr"/>
      <c r="I482" s="67" t="inlineStr">
        <is>
          <t>0001450-62.2025.5.12.0027</t>
        </is>
      </c>
      <c r="J482" s="67" t="inlineStr">
        <is>
          <t>Evento</t>
        </is>
      </c>
      <c r="K482" s="62" t="n">
        <v>46045</v>
      </c>
      <c r="L482" s="67" t="inlineStr">
        <is>
          <t>Pedro Victor</t>
        </is>
      </c>
      <c r="M482" s="40" t="inlineStr">
        <is>
          <t>Cumprido</t>
        </is>
      </c>
      <c r="N482" s="62" t="n">
        <v>46045</v>
      </c>
      <c r="O482" s="67" t="inlineStr">
        <is>
          <t>Reunião Renato Mega Máquinas</t>
        </is>
      </c>
    </row>
    <row r="483">
      <c r="A483" s="40" t="inlineStr">
        <is>
          <t>01560009520055120033</t>
        </is>
      </c>
      <c r="B483" s="40" t="inlineStr">
        <is>
          <t>Outras</t>
        </is>
      </c>
      <c r="D483" s="67" t="inlineStr">
        <is>
          <t>Pedro Victor</t>
        </is>
      </c>
      <c r="E483" s="62" t="n">
        <v>45931</v>
      </c>
      <c r="F483" s="67" t="inlineStr">
        <is>
          <t>VARA DO TRABALHO DE INDAIAL</t>
        </is>
      </c>
      <c r="I483" s="67" t="inlineStr"/>
      <c r="J483" s="67" t="inlineStr">
        <is>
          <t>Prazo</t>
        </is>
      </c>
      <c r="K483" s="62" t="n">
        <v>46048</v>
      </c>
      <c r="L483" s="67" t="inlineStr">
        <is>
          <t>Julia</t>
        </is>
      </c>
      <c r="M483" s="40" t="inlineStr">
        <is>
          <t>Cumprido</t>
        </is>
      </c>
      <c r="N483" s="62" t="n">
        <v>46048</v>
      </c>
      <c r="O483" s="67" t="inlineStr">
        <is>
          <t>Analisar Notificação Mega Máquinas</t>
        </is>
      </c>
    </row>
    <row r="484">
      <c r="A484" s="40" t="inlineStr">
        <is>
          <t>5020941-06.2025.8.24.0020</t>
        </is>
      </c>
      <c r="B484" s="40" t="inlineStr">
        <is>
          <t>Outras</t>
        </is>
      </c>
      <c r="D484" s="67" t="inlineStr">
        <is>
          <t>Renata Francisco Becker</t>
        </is>
      </c>
      <c r="E484" s="62" t="n">
        <v>45964</v>
      </c>
      <c r="F484" s="67" t="inlineStr">
        <is>
          <t>Vara da Família</t>
        </is>
      </c>
      <c r="I484" s="67" t="inlineStr"/>
      <c r="J484" s="67" t="inlineStr">
        <is>
          <t>Prazo</t>
        </is>
      </c>
      <c r="K484" s="62" t="n">
        <v>46048</v>
      </c>
      <c r="L484" s="67" t="inlineStr">
        <is>
          <t>Julia</t>
        </is>
      </c>
      <c r="M484" s="40" t="inlineStr">
        <is>
          <t>Cumprido</t>
        </is>
      </c>
      <c r="N484" s="62" t="n">
        <v>46048</v>
      </c>
      <c r="O484" s="67" t="inlineStr">
        <is>
          <t>Analise de contrato da Vonsher</t>
        </is>
      </c>
    </row>
    <row r="485">
      <c r="A485" s="40" t="n"/>
      <c r="B485" s="40" t="inlineStr">
        <is>
          <t>Outras</t>
        </is>
      </c>
      <c r="D485" s="67" t="inlineStr">
        <is>
          <t>Marelize Controladoria</t>
        </is>
      </c>
      <c r="E485" s="62" t="n">
        <v>46064</v>
      </c>
      <c r="I485" s="67" t="inlineStr"/>
      <c r="J485" s="67" t="inlineStr">
        <is>
          <t>Prazo</t>
        </is>
      </c>
      <c r="K485" s="62" t="n">
        <v>46048</v>
      </c>
      <c r="L485" s="67" t="inlineStr">
        <is>
          <t xml:space="preserve">Lucas </t>
        </is>
      </c>
      <c r="M485" s="40" t="inlineStr">
        <is>
          <t>Cumprido</t>
        </is>
      </c>
      <c r="N485" s="62" t="n">
        <v>46048</v>
      </c>
      <c r="O485" s="67" t="inlineStr">
        <is>
          <t>Auditoria Trabalhista Transdag</t>
        </is>
      </c>
    </row>
    <row r="486">
      <c r="A486" s="40" t="n"/>
      <c r="B486" s="40" t="inlineStr">
        <is>
          <t>Outras</t>
        </is>
      </c>
      <c r="D486" s="67" t="inlineStr">
        <is>
          <t>Pedro Victor</t>
        </is>
      </c>
      <c r="E486" s="62" t="n">
        <v>45882</v>
      </c>
      <c r="I486" s="67" t="inlineStr">
        <is>
          <t>5004890-17.2025.8.21.0047</t>
        </is>
      </c>
      <c r="J486" s="67" t="inlineStr">
        <is>
          <t>Prazo</t>
        </is>
      </c>
      <c r="K486" s="62" t="n">
        <v>46048</v>
      </c>
      <c r="L486" s="67" t="inlineStr">
        <is>
          <t>Renata Francisco Becker</t>
        </is>
      </c>
      <c r="M486" s="40" t="inlineStr">
        <is>
          <t>Cumprido</t>
        </is>
      </c>
      <c r="N486" s="62" t="n">
        <v>46048</v>
      </c>
      <c r="O486" s="67" t="inlineStr">
        <is>
          <t xml:space="preserve">mega prazo alvara </t>
        </is>
      </c>
    </row>
    <row r="487">
      <c r="A487" s="40" t="inlineStr">
        <is>
          <t>0032799-54.2024.8.19.0001</t>
        </is>
      </c>
      <c r="B487" s="40" t="inlineStr">
        <is>
          <t>Outras</t>
        </is>
      </c>
      <c r="D487" s="67" t="inlineStr">
        <is>
          <t>Renata Francisco Becker</t>
        </is>
      </c>
      <c r="E487" s="62" t="n">
        <v>45744</v>
      </c>
      <c r="F487" s="67" t="inlineStr"/>
      <c r="I487" s="67" t="inlineStr">
        <is>
          <t>5007794-80.2025.4.04.7204</t>
        </is>
      </c>
      <c r="J487" s="67" t="inlineStr">
        <is>
          <t>Prazo</t>
        </is>
      </c>
      <c r="K487" s="62" t="n">
        <v>46048</v>
      </c>
      <c r="L487" s="67" t="inlineStr">
        <is>
          <t>Renata Francisco Becker</t>
        </is>
      </c>
      <c r="M487" s="40" t="inlineStr">
        <is>
          <t>Cumprido</t>
        </is>
      </c>
      <c r="N487" s="62" t="n">
        <v>46048</v>
      </c>
      <c r="O487" s="67" t="inlineStr">
        <is>
          <t>Prazo</t>
        </is>
      </c>
    </row>
    <row r="488">
      <c r="A488" s="40" t="inlineStr">
        <is>
          <t>5000882-44.2025.8.24.0069</t>
        </is>
      </c>
      <c r="B488" s="40" t="inlineStr">
        <is>
          <t>Outras</t>
        </is>
      </c>
      <c r="D488" s="67" t="inlineStr">
        <is>
          <t>Renata Francisco Becker</t>
        </is>
      </c>
      <c r="E488" s="62" t="n">
        <v>45866</v>
      </c>
      <c r="F488" s="67" t="inlineStr"/>
      <c r="I488" s="67" t="inlineStr">
        <is>
          <t>50142426920254047204</t>
        </is>
      </c>
      <c r="J488" s="67" t="inlineStr">
        <is>
          <t>Prazo</t>
        </is>
      </c>
      <c r="K488" s="62" t="n">
        <v>46048</v>
      </c>
      <c r="L488" s="67" t="inlineStr">
        <is>
          <t>Jessica</t>
        </is>
      </c>
      <c r="M488" s="40" t="inlineStr">
        <is>
          <t>Cumprido</t>
        </is>
      </c>
      <c r="N488" s="62" t="n">
        <v>46048</v>
      </c>
      <c r="O488" s="67" t="inlineStr">
        <is>
          <t>Prazo</t>
        </is>
      </c>
    </row>
    <row r="489">
      <c r="A489" s="40" t="n"/>
      <c r="B489" s="40" t="inlineStr">
        <is>
          <t>Outras</t>
        </is>
      </c>
      <c r="D489" s="67" t="inlineStr">
        <is>
          <t>Marelize Controladoria</t>
        </is>
      </c>
      <c r="E489" s="62" t="n">
        <v>46042</v>
      </c>
      <c r="I489" s="67" t="inlineStr">
        <is>
          <t>0000270-11.2017.5.12.0053</t>
        </is>
      </c>
      <c r="J489" s="67" t="inlineStr">
        <is>
          <t>Prazo</t>
        </is>
      </c>
      <c r="K489" s="62" t="n">
        <v>46048</v>
      </c>
      <c r="L489" s="67" t="inlineStr">
        <is>
          <t>Luci</t>
        </is>
      </c>
      <c r="M489" s="40" t="inlineStr">
        <is>
          <t>Cumprido</t>
        </is>
      </c>
      <c r="N489" s="62" t="n">
        <v>46048</v>
      </c>
      <c r="O489" s="67" t="inlineStr">
        <is>
          <t xml:space="preserve">Prazo </t>
        </is>
      </c>
    </row>
    <row r="490">
      <c r="A490" s="40" t="n"/>
      <c r="B490" s="40" t="inlineStr">
        <is>
          <t>Outras</t>
        </is>
      </c>
      <c r="D490" s="67" t="inlineStr">
        <is>
          <t>Pedro Victor</t>
        </is>
      </c>
      <c r="E490" s="62" t="n">
        <v>46052</v>
      </c>
      <c r="I490" s="67" t="inlineStr">
        <is>
          <t>00004261720225120055</t>
        </is>
      </c>
      <c r="J490" s="67" t="inlineStr">
        <is>
          <t>Prazo</t>
        </is>
      </c>
      <c r="K490" s="62" t="n">
        <v>46048</v>
      </c>
      <c r="L490" s="67" t="inlineStr">
        <is>
          <t>Luci</t>
        </is>
      </c>
      <c r="M490" s="40" t="inlineStr">
        <is>
          <t>Cumprido</t>
        </is>
      </c>
      <c r="N490" s="62" t="n">
        <v>46048</v>
      </c>
      <c r="O490" s="67" t="inlineStr">
        <is>
          <t>Prazo</t>
        </is>
      </c>
    </row>
    <row r="491">
      <c r="A491" s="40" t="inlineStr">
        <is>
          <t>5010644-54.2018.4.04.7204</t>
        </is>
      </c>
      <c r="B491" s="40" t="inlineStr">
        <is>
          <t>Outras</t>
        </is>
      </c>
      <c r="D491" s="67" t="inlineStr">
        <is>
          <t>Renata Francisco Becker</t>
        </is>
      </c>
      <c r="E491" s="62" t="n">
        <v>44707</v>
      </c>
      <c r="F491" s="67" t="inlineStr">
        <is>
          <t>Juízo Federal da 4ª VF de Criciúma</t>
        </is>
      </c>
      <c r="I491" s="67" t="inlineStr">
        <is>
          <t>50411418520254040000</t>
        </is>
      </c>
      <c r="J491" s="67" t="inlineStr">
        <is>
          <t>Prazo</t>
        </is>
      </c>
      <c r="K491" s="62" t="n">
        <v>46048</v>
      </c>
      <c r="L491" s="67" t="inlineStr">
        <is>
          <t>Jessica</t>
        </is>
      </c>
      <c r="M491" s="40" t="inlineStr">
        <is>
          <t>Cumprido</t>
        </is>
      </c>
      <c r="N491" s="62" t="n">
        <v>46048</v>
      </c>
      <c r="O491" s="67" t="inlineStr">
        <is>
          <t>Prazo</t>
        </is>
      </c>
    </row>
    <row r="492">
      <c r="A492" s="40" t="inlineStr">
        <is>
          <t>50099444620248240004</t>
        </is>
      </c>
      <c r="B492" s="40" t="inlineStr">
        <is>
          <t>Outras</t>
        </is>
      </c>
      <c r="D492" s="67" t="inlineStr">
        <is>
          <t>Renata Francisco Becker</t>
        </is>
      </c>
      <c r="E492" s="62" t="n">
        <v>45755</v>
      </c>
      <c r="F492" s="67" t="inlineStr">
        <is>
          <t>Vara Cível</t>
        </is>
      </c>
      <c r="I492" s="67" t="inlineStr">
        <is>
          <t>0000149-93.2025.5.12.0055</t>
        </is>
      </c>
      <c r="J492" s="67" t="inlineStr">
        <is>
          <t>Prazo</t>
        </is>
      </c>
      <c r="K492" s="62" t="n">
        <v>46048</v>
      </c>
      <c r="L492" s="67" t="inlineStr">
        <is>
          <t>Luci</t>
        </is>
      </c>
      <c r="M492" s="40" t="inlineStr">
        <is>
          <t>Cumprido</t>
        </is>
      </c>
      <c r="N492" s="62" t="n">
        <v>46048</v>
      </c>
      <c r="O492" s="67" t="inlineStr">
        <is>
          <t>Prazo</t>
        </is>
      </c>
    </row>
    <row r="493">
      <c r="A493" s="40" t="n"/>
      <c r="B493" s="40" t="inlineStr">
        <is>
          <t>Outras</t>
        </is>
      </c>
      <c r="D493" s="67" t="inlineStr">
        <is>
          <t>Marelize Controladoria</t>
        </is>
      </c>
      <c r="E493" s="62" t="n">
        <v>46059</v>
      </c>
      <c r="I493" s="67" t="inlineStr">
        <is>
          <t>5033971-45.2024.8.24.0020</t>
        </is>
      </c>
      <c r="J493" s="67" t="inlineStr">
        <is>
          <t>Prazo</t>
        </is>
      </c>
      <c r="K493" s="62" t="n">
        <v>46048</v>
      </c>
      <c r="L493" s="67" t="inlineStr">
        <is>
          <t xml:space="preserve">Alexia </t>
        </is>
      </c>
      <c r="M493" s="40" t="inlineStr">
        <is>
          <t>Cumprido</t>
        </is>
      </c>
      <c r="N493" s="62" t="n">
        <v>46048</v>
      </c>
      <c r="O493" s="67" t="inlineStr">
        <is>
          <t>Prazo - doc AJG</t>
        </is>
      </c>
    </row>
    <row r="494">
      <c r="A494" s="40" t="n"/>
      <c r="B494" s="40" t="inlineStr">
        <is>
          <t>Outras</t>
        </is>
      </c>
      <c r="D494" s="67" t="inlineStr">
        <is>
          <t>Marelize Controladoria</t>
        </is>
      </c>
      <c r="E494" s="62" t="n">
        <v>46057</v>
      </c>
      <c r="I494" s="67" t="inlineStr">
        <is>
          <t>0000959-89.2024.5.12.0027</t>
        </is>
      </c>
      <c r="J494" s="67" t="inlineStr">
        <is>
          <t>Prazo</t>
        </is>
      </c>
      <c r="K494" s="62" t="n">
        <v>46048</v>
      </c>
      <c r="L494" s="67" t="inlineStr">
        <is>
          <t>Pedro Victor</t>
        </is>
      </c>
      <c r="M494" s="40" t="inlineStr">
        <is>
          <t>Cumprido</t>
        </is>
      </c>
      <c r="N494" s="62" t="n">
        <v>46048</v>
      </c>
      <c r="O494" s="67" t="inlineStr">
        <is>
          <t>Prazo Acórdão</t>
        </is>
      </c>
    </row>
    <row r="495">
      <c r="A495" s="40" t="inlineStr">
        <is>
          <t>0000160-12.2025.5.12.0027</t>
        </is>
      </c>
      <c r="B495" s="40" t="inlineStr">
        <is>
          <t>Outras</t>
        </is>
      </c>
      <c r="D495" s="67" t="inlineStr">
        <is>
          <t>Luci</t>
        </is>
      </c>
      <c r="E495" s="62" t="n">
        <v>45708</v>
      </c>
      <c r="F495" s="67" t="inlineStr"/>
      <c r="I495" s="67" t="inlineStr">
        <is>
          <t>50006362720268240000</t>
        </is>
      </c>
      <c r="J495" s="67" t="inlineStr">
        <is>
          <t>Prazo</t>
        </is>
      </c>
      <c r="K495" s="62" t="n">
        <v>46048</v>
      </c>
      <c r="L495" s="67" t="inlineStr">
        <is>
          <t>Jessica</t>
        </is>
      </c>
      <c r="M495" s="40" t="inlineStr">
        <is>
          <t>Cumprido</t>
        </is>
      </c>
      <c r="N495" s="62" t="n">
        <v>46048</v>
      </c>
      <c r="O495" s="67" t="inlineStr">
        <is>
          <t xml:space="preserve">Prazo Decisão </t>
        </is>
      </c>
    </row>
    <row r="496">
      <c r="A496" s="40" t="n"/>
      <c r="B496" s="40" t="inlineStr">
        <is>
          <t>Outras</t>
        </is>
      </c>
      <c r="D496" s="67" t="inlineStr">
        <is>
          <t>Pedro Victor</t>
        </is>
      </c>
      <c r="E496" s="62" t="n">
        <v>45959</v>
      </c>
      <c r="I496" s="67" t="inlineStr">
        <is>
          <t>5001938-91.2026.8.24.0000</t>
        </is>
      </c>
      <c r="J496" s="67" t="inlineStr">
        <is>
          <t>Prazo</t>
        </is>
      </c>
      <c r="K496" s="62" t="n">
        <v>46048</v>
      </c>
      <c r="L496" s="67" t="inlineStr">
        <is>
          <t>Renata Francisco Becker</t>
        </is>
      </c>
      <c r="M496" s="40" t="inlineStr">
        <is>
          <t>Cumprido</t>
        </is>
      </c>
      <c r="N496" s="62" t="n">
        <v>46048</v>
      </c>
      <c r="O496" s="67" t="inlineStr">
        <is>
          <t xml:space="preserve">Prazo Decisão </t>
        </is>
      </c>
    </row>
    <row r="497">
      <c r="A497" s="40" t="n"/>
      <c r="B497" s="40" t="inlineStr">
        <is>
          <t>Outras</t>
        </is>
      </c>
      <c r="D497" s="67" t="inlineStr">
        <is>
          <t>Marelize Controladoria</t>
        </is>
      </c>
      <c r="E497" s="62" t="n">
        <v>46058</v>
      </c>
      <c r="I497" s="67" t="inlineStr">
        <is>
          <t>50128814420258240020</t>
        </is>
      </c>
      <c r="J497" s="67" t="inlineStr">
        <is>
          <t>Prazo</t>
        </is>
      </c>
      <c r="K497" s="62" t="n">
        <v>46048</v>
      </c>
      <c r="L497" s="67" t="inlineStr">
        <is>
          <t>Renata Francisco Becker</t>
        </is>
      </c>
      <c r="M497" s="40" t="inlineStr">
        <is>
          <t>Cumprido</t>
        </is>
      </c>
      <c r="N497" s="62" t="n">
        <v>46048</v>
      </c>
      <c r="O497" s="67" t="inlineStr">
        <is>
          <t>Prazo designação de perícia</t>
        </is>
      </c>
    </row>
    <row r="498">
      <c r="A498" s="40" t="inlineStr">
        <is>
          <t>4000461-45.2025.8.26.0189</t>
        </is>
      </c>
      <c r="B498" s="40" t="inlineStr">
        <is>
          <t>Outras</t>
        </is>
      </c>
      <c r="D498" s="67" t="inlineStr">
        <is>
          <t>Renata Francisco Becker</t>
        </is>
      </c>
      <c r="E498" s="62" t="n">
        <v>45847</v>
      </c>
      <c r="F498" s="67" t="inlineStr">
        <is>
          <t>Vara do Juizado</t>
        </is>
      </c>
      <c r="I498" s="67" t="inlineStr">
        <is>
          <t>5069978-85.2025.8.24.0930</t>
        </is>
      </c>
      <c r="J498" s="67" t="inlineStr">
        <is>
          <t>Prazo</t>
        </is>
      </c>
      <c r="K498" s="62" t="n">
        <v>46048</v>
      </c>
      <c r="L498" s="67" t="inlineStr">
        <is>
          <t>Jessica</t>
        </is>
      </c>
      <c r="M498" s="40" t="inlineStr">
        <is>
          <t>Cumprido</t>
        </is>
      </c>
      <c r="N498" s="62" t="n">
        <v>46048</v>
      </c>
      <c r="O498" s="67" t="inlineStr">
        <is>
          <t>Prazo Embargos (Defesa Execução)</t>
        </is>
      </c>
    </row>
    <row r="499">
      <c r="A499" s="40" t="inlineStr">
        <is>
          <t>1006376-44.2021.8.26.0003</t>
        </is>
      </c>
      <c r="B499" s="40" t="inlineStr">
        <is>
          <t>Outras</t>
        </is>
      </c>
      <c r="D499" s="67" t="inlineStr">
        <is>
          <t>Renata Francisco Becker</t>
        </is>
      </c>
      <c r="E499" s="62" t="n">
        <v>44824</v>
      </c>
      <c r="F499" s="67" t="inlineStr"/>
      <c r="I499" s="67" t="inlineStr">
        <is>
          <t>0117600-68.2006.5.12.0003</t>
        </is>
      </c>
      <c r="J499" s="67" t="inlineStr">
        <is>
          <t>Prazo</t>
        </is>
      </c>
      <c r="K499" s="62" t="n">
        <v>46048</v>
      </c>
      <c r="L499" s="67" t="inlineStr">
        <is>
          <t>Pedro Victor</t>
        </is>
      </c>
      <c r="M499" s="40" t="inlineStr">
        <is>
          <t>Cumprido</t>
        </is>
      </c>
      <c r="N499" s="62" t="n">
        <v>46048</v>
      </c>
      <c r="O499" s="67" t="inlineStr">
        <is>
          <t xml:space="preserve">Prazo PF 29/01 </t>
        </is>
      </c>
    </row>
    <row r="500">
      <c r="A500" s="40" t="inlineStr">
        <is>
          <t>5004513-46.2023.8.24.0075</t>
        </is>
      </c>
      <c r="B500" s="40" t="inlineStr">
        <is>
          <t>Outras</t>
        </is>
      </c>
      <c r="D500" s="67" t="inlineStr">
        <is>
          <t>Renata Francisco Becker</t>
        </is>
      </c>
      <c r="E500" s="62" t="n">
        <v>45426</v>
      </c>
      <c r="F500" s="67" t="inlineStr">
        <is>
          <t>Juízo da 1ª Vara Cível da Comarca de Tubarão</t>
        </is>
      </c>
      <c r="I500" s="67" t="inlineStr">
        <is>
          <t>50012521020248240020</t>
        </is>
      </c>
      <c r="J500" s="67" t="inlineStr">
        <is>
          <t>Prazo</t>
        </is>
      </c>
      <c r="K500" s="62" t="n">
        <v>46048</v>
      </c>
      <c r="L500" s="67" t="inlineStr">
        <is>
          <t>Renata Francisco Becker</t>
        </is>
      </c>
      <c r="M500" s="40" t="inlineStr">
        <is>
          <t>Cumprido</t>
        </is>
      </c>
      <c r="N500" s="62" t="n">
        <v>46048</v>
      </c>
      <c r="O500" s="67" t="inlineStr">
        <is>
          <t>Prazo Sentença</t>
        </is>
      </c>
    </row>
    <row r="501">
      <c r="A501" s="40" t="inlineStr">
        <is>
          <t>5100202-40.2024.8.24.0930</t>
        </is>
      </c>
      <c r="B501" s="40" t="inlineStr">
        <is>
          <t>Outras</t>
        </is>
      </c>
      <c r="D501" s="67" t="inlineStr">
        <is>
          <t>Renata Francisco Becker</t>
        </is>
      </c>
      <c r="E501" s="62" t="n">
        <v>45764</v>
      </c>
      <c r="F501" s="67" t="inlineStr">
        <is>
          <t>6º Juízo da Vara Estadual de Direito Bancário</t>
        </is>
      </c>
      <c r="I501" s="67" t="inlineStr">
        <is>
          <t>5013743-49.2024.8.24.0020</t>
        </is>
      </c>
      <c r="J501" s="67" t="inlineStr">
        <is>
          <t>Prazo</t>
        </is>
      </c>
      <c r="K501" s="62" t="n">
        <v>46048</v>
      </c>
      <c r="L501" s="67" t="inlineStr">
        <is>
          <t>Renata Francisco Becker</t>
        </is>
      </c>
      <c r="M501" s="40" t="inlineStr">
        <is>
          <t>Cumprido</t>
        </is>
      </c>
      <c r="N501" s="62" t="n">
        <v>46048</v>
      </c>
      <c r="O501" s="67" t="inlineStr">
        <is>
          <t>Prazo Sentença Janea</t>
        </is>
      </c>
    </row>
    <row r="502">
      <c r="A502" s="40" t="inlineStr">
        <is>
          <t>0900232-69.2014.8.24.0028</t>
        </is>
      </c>
      <c r="B502" s="40" t="inlineStr">
        <is>
          <t>Outras</t>
        </is>
      </c>
      <c r="D502" s="67" t="inlineStr">
        <is>
          <t>Renata Francisco Becker</t>
        </is>
      </c>
      <c r="E502" s="62" t="n">
        <v>45145</v>
      </c>
      <c r="F502" s="67" t="inlineStr">
        <is>
          <t>Juízo da 2ª Vara Cível da Comarca de Içara</t>
        </is>
      </c>
      <c r="I502" s="67" t="inlineStr">
        <is>
          <t>0900002-25.2019.8.24.0166</t>
        </is>
      </c>
      <c r="J502" s="67" t="inlineStr">
        <is>
          <t>Prazo</t>
        </is>
      </c>
      <c r="K502" s="62" t="n">
        <v>46048</v>
      </c>
      <c r="L502" s="67" t="inlineStr">
        <is>
          <t>Jessica</t>
        </is>
      </c>
      <c r="M502" s="40" t="inlineStr">
        <is>
          <t>Cumprido</t>
        </is>
      </c>
      <c r="N502" s="62" t="n">
        <v>46048</v>
      </c>
      <c r="O502" s="67" t="inlineStr">
        <is>
          <t>prazo trib URGENTE</t>
        </is>
      </c>
    </row>
    <row r="503">
      <c r="A503" s="40" t="n"/>
      <c r="B503" s="40" t="inlineStr">
        <is>
          <t>Outras</t>
        </is>
      </c>
      <c r="D503" s="67" t="inlineStr">
        <is>
          <t>Marelize Controladoria</t>
        </is>
      </c>
      <c r="E503" s="62" t="n">
        <v>46052</v>
      </c>
      <c r="I503" s="67" t="inlineStr">
        <is>
          <t>5001371-18.2024.8.24.0166</t>
        </is>
      </c>
      <c r="J503" s="67" t="inlineStr">
        <is>
          <t>Prazo</t>
        </is>
      </c>
      <c r="K503" s="62" t="n">
        <v>46048</v>
      </c>
      <c r="L503" s="67" t="inlineStr">
        <is>
          <t xml:space="preserve">Alexia </t>
        </is>
      </c>
      <c r="M503" s="40" t="inlineStr">
        <is>
          <t>Cumprido</t>
        </is>
      </c>
      <c r="N503" s="62" t="n">
        <v>46048</v>
      </c>
      <c r="O503" s="67" t="inlineStr">
        <is>
          <t>Prazo URGENTE 29/01</t>
        </is>
      </c>
    </row>
    <row r="504">
      <c r="A504" s="40" t="inlineStr">
        <is>
          <t>5003068-76.2019.8.24.0028</t>
        </is>
      </c>
      <c r="B504" s="40" t="inlineStr">
        <is>
          <t>Outras</t>
        </is>
      </c>
      <c r="D504" s="67" t="inlineStr">
        <is>
          <t>Renata Francisco Becker</t>
        </is>
      </c>
      <c r="E504" s="62" t="n">
        <v>44701</v>
      </c>
      <c r="F504" s="67" t="inlineStr">
        <is>
          <t>Juizo Da 1ª Vara Da Comarca De Icara</t>
        </is>
      </c>
      <c r="I504" s="67" t="inlineStr">
        <is>
          <t>5003573-71.2025.8.24.0282</t>
        </is>
      </c>
      <c r="J504" s="67" t="inlineStr">
        <is>
          <t>Prazo</t>
        </is>
      </c>
      <c r="K504" s="62" t="n">
        <v>46048</v>
      </c>
      <c r="L504" s="67" t="inlineStr">
        <is>
          <t>Renata Francisco Becker</t>
        </is>
      </c>
      <c r="M504" s="40" t="inlineStr">
        <is>
          <t>Cumprido</t>
        </is>
      </c>
      <c r="N504" s="62" t="n">
        <v>46048</v>
      </c>
      <c r="O504" s="67" t="inlineStr">
        <is>
          <t>Tc Analisar e avisar extinta</t>
        </is>
      </c>
    </row>
    <row r="505">
      <c r="A505" s="40" t="n"/>
      <c r="B505" s="40" t="inlineStr">
        <is>
          <t>Outras</t>
        </is>
      </c>
      <c r="D505" s="67" t="inlineStr">
        <is>
          <t>Marelize Controladoria</t>
        </is>
      </c>
      <c r="E505" s="62" t="n">
        <v>46048</v>
      </c>
      <c r="I505" s="67" t="inlineStr">
        <is>
          <t>5007007-54.2025.8.24.0028</t>
        </is>
      </c>
      <c r="J505" s="67" t="inlineStr">
        <is>
          <t>Prazo</t>
        </is>
      </c>
      <c r="K505" s="62" t="n">
        <v>46048</v>
      </c>
      <c r="L505" s="67" t="inlineStr">
        <is>
          <t>Marelize Controladoria</t>
        </is>
      </c>
      <c r="M505" s="40" t="inlineStr">
        <is>
          <t>Cumprido</t>
        </is>
      </c>
      <c r="N505" s="62" t="n">
        <v>46048</v>
      </c>
      <c r="O505" s="67" t="inlineStr">
        <is>
          <t>Verificar se temos prazo a cumprir URGENTE</t>
        </is>
      </c>
    </row>
    <row r="506">
      <c r="A506" s="40" t="n"/>
      <c r="B506" s="40" t="inlineStr">
        <is>
          <t>Outras</t>
        </is>
      </c>
      <c r="D506" s="67" t="inlineStr">
        <is>
          <t>Marelize Controladoria</t>
        </is>
      </c>
      <c r="E506" s="62" t="n">
        <v>46041</v>
      </c>
      <c r="I506" s="67" t="inlineStr">
        <is>
          <t>50411418520254040000</t>
        </is>
      </c>
      <c r="J506" s="67" t="inlineStr">
        <is>
          <t>Tarefa</t>
        </is>
      </c>
      <c r="K506" s="62" t="n">
        <v>46048</v>
      </c>
      <c r="L506" s="67" t="inlineStr">
        <is>
          <t>Jessica</t>
        </is>
      </c>
      <c r="M506" s="40" t="inlineStr">
        <is>
          <t>Cumprido</t>
        </is>
      </c>
      <c r="N506" s="62" t="n">
        <v>46048</v>
      </c>
      <c r="O506" s="67" t="inlineStr">
        <is>
          <t>Elaboração</t>
        </is>
      </c>
    </row>
    <row r="507">
      <c r="A507" s="40" t="n"/>
      <c r="B507" s="40" t="inlineStr">
        <is>
          <t>Outras</t>
        </is>
      </c>
      <c r="D507" s="67" t="inlineStr">
        <is>
          <t>Pedro Victor</t>
        </is>
      </c>
      <c r="E507" s="62" t="n">
        <v>46043</v>
      </c>
      <c r="I507" s="67" t="inlineStr">
        <is>
          <t>0117600-68.2006.5.12.0003</t>
        </is>
      </c>
      <c r="J507" s="67" t="inlineStr">
        <is>
          <t>Tarefa</t>
        </is>
      </c>
      <c r="K507" s="62" t="n">
        <v>46048</v>
      </c>
      <c r="L507" s="67" t="inlineStr">
        <is>
          <t>Luci</t>
        </is>
      </c>
      <c r="M507" s="40" t="inlineStr">
        <is>
          <t>Cumprido</t>
        </is>
      </c>
      <c r="N507" s="62" t="n">
        <v>46048</v>
      </c>
      <c r="O507" s="67" t="inlineStr">
        <is>
          <t>Elaboração</t>
        </is>
      </c>
    </row>
    <row r="508">
      <c r="A508" s="40" t="n"/>
      <c r="B508" s="40" t="inlineStr">
        <is>
          <t>Outras</t>
        </is>
      </c>
      <c r="D508" s="67" t="inlineStr">
        <is>
          <t>Renata Francisco Becker</t>
        </is>
      </c>
      <c r="E508" s="62" t="n">
        <v>45997</v>
      </c>
      <c r="I508" s="67" t="inlineStr">
        <is>
          <t>5001371-18.2024.8.24.0166</t>
        </is>
      </c>
      <c r="J508" s="67" t="inlineStr">
        <is>
          <t>Tarefa</t>
        </is>
      </c>
      <c r="K508" s="62" t="n">
        <v>46048</v>
      </c>
      <c r="L508" s="67" t="inlineStr">
        <is>
          <t xml:space="preserve">Alexia </t>
        </is>
      </c>
      <c r="M508" s="40" t="inlineStr">
        <is>
          <t>Cumprido</t>
        </is>
      </c>
      <c r="N508" s="62" t="n">
        <v>46048</v>
      </c>
      <c r="O508" s="67" t="inlineStr">
        <is>
          <t>Elaboração</t>
        </is>
      </c>
    </row>
    <row r="509">
      <c r="A509" s="40" t="n"/>
      <c r="B509" s="40" t="inlineStr">
        <is>
          <t>Outras</t>
        </is>
      </c>
      <c r="D509" s="67" t="inlineStr">
        <is>
          <t>Marelize Controladoria</t>
        </is>
      </c>
      <c r="E509" s="62" t="n">
        <v>46056</v>
      </c>
      <c r="I509" s="67" t="inlineStr">
        <is>
          <t>0000149-93.2025.5.12.0055</t>
        </is>
      </c>
      <c r="J509" s="67" t="inlineStr">
        <is>
          <t>Tarefa</t>
        </is>
      </c>
      <c r="K509" s="62" t="n">
        <v>46048</v>
      </c>
      <c r="L509" s="67" t="inlineStr">
        <is>
          <t>Luci</t>
        </is>
      </c>
      <c r="M509" s="40" t="inlineStr">
        <is>
          <t>Cumprido</t>
        </is>
      </c>
      <c r="N509" s="62" t="n">
        <v>46048</v>
      </c>
      <c r="O509" s="67" t="inlineStr">
        <is>
          <t>Elaboração</t>
        </is>
      </c>
    </row>
    <row r="510">
      <c r="A510" s="40" t="n"/>
      <c r="B510" s="40" t="inlineStr">
        <is>
          <t>Outras</t>
        </is>
      </c>
      <c r="D510" s="67" t="inlineStr">
        <is>
          <t>Marelize Controladoria</t>
        </is>
      </c>
      <c r="E510" s="62" t="n">
        <v>46052</v>
      </c>
      <c r="I510" s="67" t="inlineStr">
        <is>
          <t>5033971-45.2024.8.24.0020</t>
        </is>
      </c>
      <c r="J510" s="67" t="inlineStr">
        <is>
          <t>Tarefa</t>
        </is>
      </c>
      <c r="K510" s="62" t="n">
        <v>46048</v>
      </c>
      <c r="L510" s="67" t="inlineStr">
        <is>
          <t xml:space="preserve">Alexia </t>
        </is>
      </c>
      <c r="M510" s="40" t="inlineStr">
        <is>
          <t>Cumprido</t>
        </is>
      </c>
      <c r="N510" s="62" t="n">
        <v>46048</v>
      </c>
      <c r="O510" s="67" t="inlineStr">
        <is>
          <t>Elaboração</t>
        </is>
      </c>
    </row>
    <row r="511">
      <c r="A511" s="40" t="inlineStr">
        <is>
          <t>0000500-51.2025.5.12.0060</t>
        </is>
      </c>
      <c r="B511" s="40" t="inlineStr">
        <is>
          <t>Outras</t>
        </is>
      </c>
      <c r="D511" s="67" t="inlineStr">
        <is>
          <t>Renata Francisco Becker</t>
        </is>
      </c>
      <c r="E511" s="62" t="n">
        <v>45860</v>
      </c>
      <c r="F511" s="67" t="inlineStr">
        <is>
          <t>Vara do Trabalho</t>
        </is>
      </c>
      <c r="I511" s="67" t="inlineStr">
        <is>
          <t>50142426920254047204</t>
        </is>
      </c>
      <c r="J511" s="67" t="inlineStr">
        <is>
          <t>Tarefa</t>
        </is>
      </c>
      <c r="K511" s="62" t="n">
        <v>46048</v>
      </c>
      <c r="L511" s="67" t="inlineStr">
        <is>
          <t>Jessica</t>
        </is>
      </c>
      <c r="M511" s="40" t="inlineStr">
        <is>
          <t>Cumprido</t>
        </is>
      </c>
      <c r="N511" s="62" t="n">
        <v>46048</v>
      </c>
      <c r="O511" s="67" t="inlineStr">
        <is>
          <t>Elaboração</t>
        </is>
      </c>
    </row>
    <row r="512">
      <c r="A512" s="40" t="n"/>
      <c r="B512" s="40" t="inlineStr">
        <is>
          <t>Outras</t>
        </is>
      </c>
      <c r="D512" s="67" t="inlineStr">
        <is>
          <t>Marelize Controladoria</t>
        </is>
      </c>
      <c r="E512" s="62" t="n">
        <v>46059</v>
      </c>
      <c r="I512" s="67" t="inlineStr"/>
      <c r="J512" s="67" t="inlineStr">
        <is>
          <t>Tarefa</t>
        </is>
      </c>
      <c r="K512" s="62" t="n">
        <v>46048</v>
      </c>
      <c r="L512" s="67" t="inlineStr">
        <is>
          <t>Julia</t>
        </is>
      </c>
      <c r="M512" s="40" t="inlineStr">
        <is>
          <t>Cumprido</t>
        </is>
      </c>
      <c r="N512" s="62" t="n">
        <v>46048</v>
      </c>
      <c r="O512" s="67" t="inlineStr">
        <is>
          <t>Elaboração</t>
        </is>
      </c>
    </row>
    <row r="513">
      <c r="A513" s="40" t="inlineStr">
        <is>
          <t>5001100-11.2019.8.24.0028</t>
        </is>
      </c>
      <c r="B513" s="40" t="inlineStr">
        <is>
          <t>Outras</t>
        </is>
      </c>
      <c r="D513" s="67" t="inlineStr">
        <is>
          <t>Renata Francisco Becker</t>
        </is>
      </c>
      <c r="E513" s="62" t="n">
        <v>44701</v>
      </c>
      <c r="F513" s="67" t="inlineStr">
        <is>
          <t>Juizo Da 1ª Vara Da Comarca De Icara</t>
        </is>
      </c>
      <c r="I513" s="67" t="inlineStr"/>
      <c r="J513" s="67" t="inlineStr">
        <is>
          <t>Tarefa</t>
        </is>
      </c>
      <c r="K513" s="62" t="n">
        <v>46048</v>
      </c>
      <c r="L513" s="67" t="inlineStr">
        <is>
          <t xml:space="preserve">Lucas </t>
        </is>
      </c>
      <c r="M513" s="40" t="inlineStr">
        <is>
          <t>Cumprido</t>
        </is>
      </c>
      <c r="N513" s="62" t="n">
        <v>46048</v>
      </c>
      <c r="O513" s="67" t="inlineStr">
        <is>
          <t>Elaboração (Confecção de documetos)</t>
        </is>
      </c>
    </row>
    <row r="514">
      <c r="A514" s="40" t="inlineStr">
        <is>
          <t>5017830-14.2025.8.24.0020</t>
        </is>
      </c>
      <c r="B514" s="40" t="inlineStr">
        <is>
          <t>Outras</t>
        </is>
      </c>
      <c r="D514" s="67" t="inlineStr">
        <is>
          <t>Renata Francisco Becker</t>
        </is>
      </c>
      <c r="E514" s="62" t="n">
        <v>45840</v>
      </c>
      <c r="F514" s="67" t="inlineStr">
        <is>
          <t>Vara da infancia</t>
        </is>
      </c>
      <c r="I514" s="67" t="inlineStr">
        <is>
          <t>5001371-18.2024.8.24.0166</t>
        </is>
      </c>
      <c r="J514" s="67" t="inlineStr">
        <is>
          <t>Tarefa</t>
        </is>
      </c>
      <c r="K514" s="62" t="n">
        <v>46048</v>
      </c>
      <c r="L514" s="67" t="inlineStr">
        <is>
          <t xml:space="preserve">Alexia </t>
        </is>
      </c>
      <c r="M514" s="40" t="inlineStr">
        <is>
          <t>Cumprido</t>
        </is>
      </c>
      <c r="N514" s="62" t="n">
        <v>46048</v>
      </c>
      <c r="O514" s="67" t="inlineStr">
        <is>
          <t>Protocolo</t>
        </is>
      </c>
    </row>
    <row r="515">
      <c r="A515" s="40" t="n"/>
      <c r="B515" s="40" t="inlineStr">
        <is>
          <t>Outras</t>
        </is>
      </c>
      <c r="D515" s="67" t="inlineStr">
        <is>
          <t>Marelize Controladoria</t>
        </is>
      </c>
      <c r="E515" s="62" t="n">
        <v>46058</v>
      </c>
      <c r="I515" s="67" t="inlineStr">
        <is>
          <t>0001725-11.2025.5.12.0027</t>
        </is>
      </c>
      <c r="J515" s="67" t="inlineStr">
        <is>
          <t>Tarefa</t>
        </is>
      </c>
      <c r="K515" s="62" t="n">
        <v>46048</v>
      </c>
      <c r="L515" s="67" t="inlineStr">
        <is>
          <t>Luci</t>
        </is>
      </c>
      <c r="M515" s="40" t="inlineStr">
        <is>
          <t>Cumprido</t>
        </is>
      </c>
      <c r="N515" s="62" t="n">
        <v>46048</v>
      </c>
      <c r="O515" s="67" t="inlineStr">
        <is>
          <t>Protocolo</t>
        </is>
      </c>
    </row>
    <row r="516">
      <c r="A516" s="40" t="inlineStr">
        <is>
          <t>5007007-54.2025.8.24.0028</t>
        </is>
      </c>
      <c r="B516" s="40" t="inlineStr">
        <is>
          <t>Outras</t>
        </is>
      </c>
      <c r="D516" s="67" t="inlineStr">
        <is>
          <t>Renata Francisco Becker</t>
        </is>
      </c>
      <c r="E516" s="62" t="n">
        <v>45988</v>
      </c>
      <c r="F516" s="67" t="inlineStr"/>
      <c r="I516" s="67" t="inlineStr">
        <is>
          <t>0001360-54.2025.5.12.0027</t>
        </is>
      </c>
      <c r="J516" s="67" t="inlineStr">
        <is>
          <t>Tarefa</t>
        </is>
      </c>
      <c r="K516" s="62" t="n">
        <v>46048</v>
      </c>
      <c r="L516" s="67" t="inlineStr">
        <is>
          <t>Luci</t>
        </is>
      </c>
      <c r="M516" s="40" t="inlineStr">
        <is>
          <t>Cumprido</t>
        </is>
      </c>
      <c r="N516" s="62" t="n">
        <v>46048</v>
      </c>
      <c r="O516" s="67" t="inlineStr">
        <is>
          <t>Protocolo</t>
        </is>
      </c>
    </row>
    <row r="517">
      <c r="A517" s="40" t="inlineStr">
        <is>
          <t>5019657-60.2025.8.24.0020</t>
        </is>
      </c>
      <c r="B517" s="40" t="inlineStr">
        <is>
          <t>Outras</t>
        </is>
      </c>
      <c r="D517" s="67" t="inlineStr">
        <is>
          <t>Renata Francisco Becker</t>
        </is>
      </c>
      <c r="E517" s="62" t="n">
        <v>45918</v>
      </c>
      <c r="F517" s="67" t="inlineStr">
        <is>
          <t>Vara da Família</t>
        </is>
      </c>
      <c r="I517" s="67" t="inlineStr">
        <is>
          <t>0000223-37.2025.5.12.0027</t>
        </is>
      </c>
      <c r="J517" s="67" t="inlineStr">
        <is>
          <t>Tarefa</t>
        </is>
      </c>
      <c r="K517" s="62" t="n">
        <v>46048</v>
      </c>
      <c r="L517" s="67" t="inlineStr">
        <is>
          <t>Luci</t>
        </is>
      </c>
      <c r="M517" s="40" t="inlineStr">
        <is>
          <t>Cumprido</t>
        </is>
      </c>
      <c r="N517" s="62" t="n">
        <v>46048</v>
      </c>
      <c r="O517" s="67" t="inlineStr">
        <is>
          <t>Protocolo</t>
        </is>
      </c>
    </row>
    <row r="518">
      <c r="A518" s="40" t="n"/>
      <c r="B518" s="40" t="inlineStr">
        <is>
          <t>Outras</t>
        </is>
      </c>
      <c r="D518" s="67" t="inlineStr">
        <is>
          <t>Marelize Controladoria</t>
        </is>
      </c>
      <c r="E518" s="62" t="n">
        <v>46055</v>
      </c>
      <c r="I518" s="67" t="inlineStr"/>
      <c r="J518" s="67" t="inlineStr">
        <is>
          <t>Tarefa</t>
        </is>
      </c>
      <c r="K518" s="62" t="n">
        <v>46048</v>
      </c>
      <c r="L518" s="67" t="inlineStr">
        <is>
          <t>Julia</t>
        </is>
      </c>
      <c r="M518" s="40" t="inlineStr">
        <is>
          <t>Cumprido</t>
        </is>
      </c>
      <c r="N518" s="62" t="n">
        <v>46048</v>
      </c>
      <c r="O518" s="67" t="inlineStr">
        <is>
          <t>Protocolo</t>
        </is>
      </c>
    </row>
    <row r="519">
      <c r="A519" s="40" t="n"/>
      <c r="B519" s="40" t="inlineStr">
        <is>
          <t>Outras</t>
        </is>
      </c>
      <c r="D519" s="67" t="inlineStr">
        <is>
          <t>Pedro Victor</t>
        </is>
      </c>
      <c r="E519" s="62" t="n">
        <v>45917</v>
      </c>
      <c r="I519" s="67" t="inlineStr">
        <is>
          <t>5001371-18.2024.8.24.0166</t>
        </is>
      </c>
      <c r="J519" s="67" t="inlineStr">
        <is>
          <t>Tarefa</t>
        </is>
      </c>
      <c r="K519" s="62" t="n">
        <v>46048</v>
      </c>
      <c r="L519" s="67" t="inlineStr">
        <is>
          <t>Renata Francisco Becker</t>
        </is>
      </c>
      <c r="M519" s="40" t="inlineStr">
        <is>
          <t>Cumprido</t>
        </is>
      </c>
      <c r="N519" s="62" t="n">
        <v>46048</v>
      </c>
      <c r="O519" s="67" t="inlineStr">
        <is>
          <t>Revisão</t>
        </is>
      </c>
    </row>
    <row r="520">
      <c r="A520" s="40" t="inlineStr">
        <is>
          <t>50411418520254040000</t>
        </is>
      </c>
      <c r="B520" s="40" t="inlineStr">
        <is>
          <t>Outras</t>
        </is>
      </c>
      <c r="D520" s="67" t="inlineStr">
        <is>
          <t>Jessica</t>
        </is>
      </c>
      <c r="E520" s="62" t="n">
        <v>46009</v>
      </c>
      <c r="F520" s="67" t="inlineStr"/>
      <c r="I520" s="67" t="inlineStr">
        <is>
          <t>00001865320235120003</t>
        </is>
      </c>
      <c r="J520" s="67" t="inlineStr">
        <is>
          <t>Tarefa</t>
        </is>
      </c>
      <c r="K520" s="62" t="n">
        <v>46048</v>
      </c>
      <c r="L520" s="67" t="inlineStr">
        <is>
          <t>Renata Francisco Becker</t>
        </is>
      </c>
      <c r="M520" s="40" t="inlineStr">
        <is>
          <t>Cumprido</t>
        </is>
      </c>
      <c r="N520" s="62" t="n">
        <v>46048</v>
      </c>
      <c r="O520" s="67" t="inlineStr">
        <is>
          <t>Revisão</t>
        </is>
      </c>
    </row>
    <row r="521">
      <c r="A521" s="40" t="n"/>
      <c r="B521" s="40" t="inlineStr">
        <is>
          <t>Outras</t>
        </is>
      </c>
      <c r="D521" s="67" t="inlineStr">
        <is>
          <t>Marelize Controladoria</t>
        </is>
      </c>
      <c r="E521" s="62" t="n">
        <v>46058</v>
      </c>
      <c r="I521" s="67" t="inlineStr">
        <is>
          <t>5001371-18.2024.8.24.0166</t>
        </is>
      </c>
      <c r="J521" s="67" t="inlineStr">
        <is>
          <t>Tarefa</t>
        </is>
      </c>
      <c r="K521" s="62" t="n">
        <v>46048</v>
      </c>
      <c r="L521" s="67" t="inlineStr">
        <is>
          <t xml:space="preserve">Alexia </t>
        </is>
      </c>
      <c r="M521" s="40" t="inlineStr">
        <is>
          <t>Cumprido</t>
        </is>
      </c>
      <c r="N521" s="62" t="n">
        <v>46048</v>
      </c>
      <c r="O521" s="67" t="inlineStr">
        <is>
          <t>Revisão</t>
        </is>
      </c>
    </row>
    <row r="522">
      <c r="A522" s="40" t="inlineStr">
        <is>
          <t>00013251020255120055</t>
        </is>
      </c>
      <c r="B522" s="40" t="inlineStr">
        <is>
          <t>Outras</t>
        </is>
      </c>
      <c r="D522" s="67" t="inlineStr">
        <is>
          <t>Renata Francisco Becker</t>
        </is>
      </c>
      <c r="E522" s="62" t="n">
        <v>45960</v>
      </c>
      <c r="F522" s="67" t="inlineStr"/>
      <c r="I522" s="67" t="inlineStr"/>
      <c r="J522" s="67" t="inlineStr">
        <is>
          <t>Tarefa</t>
        </is>
      </c>
      <c r="K522" s="62" t="n">
        <v>46048</v>
      </c>
      <c r="L522" s="67" t="inlineStr">
        <is>
          <t>Julia</t>
        </is>
      </c>
      <c r="M522" s="40" t="inlineStr">
        <is>
          <t>Cumprido</t>
        </is>
      </c>
      <c r="N522" s="62" t="n">
        <v>46048</v>
      </c>
      <c r="O522" s="67" t="inlineStr">
        <is>
          <t>Revisão</t>
        </is>
      </c>
    </row>
    <row r="523">
      <c r="A523" s="40" t="n"/>
      <c r="B523" s="40" t="inlineStr">
        <is>
          <t>Outras</t>
        </is>
      </c>
      <c r="D523" s="67" t="inlineStr">
        <is>
          <t>Marelize Controladoria</t>
        </is>
      </c>
      <c r="E523" s="62" t="n">
        <v>46038</v>
      </c>
      <c r="I523" s="67" t="inlineStr">
        <is>
          <t>0000500-51.2025.5.12.0060</t>
        </is>
      </c>
      <c r="J523" s="67" t="inlineStr">
        <is>
          <t>Tarefa</t>
        </is>
      </c>
      <c r="K523" s="62" t="n">
        <v>46048</v>
      </c>
      <c r="L523" s="67" t="inlineStr">
        <is>
          <t>Luci</t>
        </is>
      </c>
      <c r="M523" s="40" t="inlineStr">
        <is>
          <t>Cumprido</t>
        </is>
      </c>
      <c r="N523" s="62" t="n">
        <v>46048</v>
      </c>
      <c r="O523" s="67" t="inlineStr">
        <is>
          <t>Revisão</t>
        </is>
      </c>
    </row>
    <row r="524">
      <c r="A524" s="40" t="inlineStr">
        <is>
          <t>00004261720225120055</t>
        </is>
      </c>
      <c r="B524" s="40" t="inlineStr">
        <is>
          <t>Outras</t>
        </is>
      </c>
      <c r="D524" s="67" t="inlineStr">
        <is>
          <t>Pedro Victor</t>
        </is>
      </c>
      <c r="E524" s="62" t="n">
        <v>44774</v>
      </c>
      <c r="F524" s="67" t="inlineStr">
        <is>
          <t>4ª VARA DO TRABALHO DE CRICIÚMA</t>
        </is>
      </c>
      <c r="I524" s="67" t="inlineStr">
        <is>
          <t>0000500-51.2025.5.12.0060</t>
        </is>
      </c>
      <c r="J524" s="67" t="inlineStr">
        <is>
          <t>Tarefa</t>
        </is>
      </c>
      <c r="K524" s="62" t="n">
        <v>46048</v>
      </c>
      <c r="L524" s="67" t="inlineStr">
        <is>
          <t>Renata Francisco Becker</t>
        </is>
      </c>
      <c r="M524" s="40" t="inlineStr">
        <is>
          <t>Cumprido</t>
        </is>
      </c>
      <c r="N524" s="62" t="n">
        <v>46048</v>
      </c>
      <c r="O524" s="67" t="inlineStr">
        <is>
          <t>Revisão</t>
        </is>
      </c>
    </row>
    <row r="525">
      <c r="A525" s="40" t="inlineStr">
        <is>
          <t>0000149-93.2025.5.12.0055</t>
        </is>
      </c>
      <c r="B525" s="40" t="inlineStr">
        <is>
          <t>Outras</t>
        </is>
      </c>
      <c r="D525" s="67" t="inlineStr">
        <is>
          <t>Luci</t>
        </is>
      </c>
      <c r="E525" s="62" t="n">
        <v>45779</v>
      </c>
      <c r="F525" s="67" t="inlineStr">
        <is>
          <t>3ª VARA DO TRABALHO DE CRICIÚMA</t>
        </is>
      </c>
      <c r="I525" s="67" t="inlineStr"/>
      <c r="J525" s="67" t="inlineStr">
        <is>
          <t>Tarefa</t>
        </is>
      </c>
      <c r="K525" s="62" t="n">
        <v>46048</v>
      </c>
      <c r="L525" s="67" t="inlineStr">
        <is>
          <t>Renata Francisco Becker</t>
        </is>
      </c>
      <c r="M525" s="40" t="inlineStr">
        <is>
          <t>Cumprido</t>
        </is>
      </c>
      <c r="N525" s="62" t="n">
        <v>46048</v>
      </c>
      <c r="O525" s="67" t="inlineStr">
        <is>
          <t>Revisão</t>
        </is>
      </c>
    </row>
    <row r="526">
      <c r="A526" s="40" t="inlineStr">
        <is>
          <t>0001666-95.2025.5.12.0003</t>
        </is>
      </c>
      <c r="B526" s="40" t="inlineStr">
        <is>
          <t>Outras</t>
        </is>
      </c>
      <c r="D526" s="67" t="inlineStr">
        <is>
          <t>Renata Francisco Becker</t>
        </is>
      </c>
      <c r="E526" s="62" t="n">
        <v>45972</v>
      </c>
      <c r="F526" s="67" t="inlineStr"/>
      <c r="I526" s="67" t="inlineStr">
        <is>
          <t>50055518420238240078</t>
        </is>
      </c>
      <c r="J526" s="67" t="inlineStr">
        <is>
          <t>Tarefa</t>
        </is>
      </c>
      <c r="K526" s="62" t="n">
        <v>46048</v>
      </c>
      <c r="L526" s="67" t="inlineStr">
        <is>
          <t>Marelize Controladoria</t>
        </is>
      </c>
      <c r="M526" s="40" t="inlineStr">
        <is>
          <t>Cumprido</t>
        </is>
      </c>
      <c r="N526" s="62" t="n">
        <v>46048</v>
      </c>
      <c r="O526" s="67" t="inlineStr">
        <is>
          <t xml:space="preserve">Anotação nas agendas físicas. </t>
        </is>
      </c>
    </row>
    <row r="527">
      <c r="A527" s="40" t="inlineStr">
        <is>
          <t>5000453-56.2025.8.24.0076</t>
        </is>
      </c>
      <c r="B527" s="40" t="inlineStr">
        <is>
          <t>Outras</t>
        </is>
      </c>
      <c r="D527" s="67" t="inlineStr">
        <is>
          <t>Renata Francisco Becker</t>
        </is>
      </c>
      <c r="E527" s="62" t="n">
        <v>45700</v>
      </c>
      <c r="F527" s="67" t="inlineStr">
        <is>
          <t>Juizo da vara unica</t>
        </is>
      </c>
      <c r="I527" s="67" t="inlineStr">
        <is>
          <t>5023319-32.2025.8.24.0020</t>
        </is>
      </c>
      <c r="J527" s="67" t="inlineStr">
        <is>
          <t>Tarefa</t>
        </is>
      </c>
      <c r="K527" s="62" t="n">
        <v>46048</v>
      </c>
      <c r="L527" s="67" t="inlineStr">
        <is>
          <t>Renata Francisco Becker</t>
        </is>
      </c>
      <c r="M527" s="40" t="inlineStr">
        <is>
          <t>Cumprido</t>
        </is>
      </c>
      <c r="N527" s="62" t="n">
        <v>46048</v>
      </c>
      <c r="O527" s="67" t="inlineStr">
        <is>
          <t>Avisar e preparar cliente para a audiencia</t>
        </is>
      </c>
    </row>
    <row r="528">
      <c r="A528" s="40" t="n"/>
      <c r="B528" s="40" t="inlineStr">
        <is>
          <t>Outras</t>
        </is>
      </c>
      <c r="D528" s="67" t="inlineStr">
        <is>
          <t>Marelize Controladoria</t>
        </is>
      </c>
      <c r="E528" s="62" t="n">
        <v>46056</v>
      </c>
      <c r="I528" s="67" t="inlineStr"/>
      <c r="J528" s="67" t="inlineStr">
        <is>
          <t>Tarefa</t>
        </is>
      </c>
      <c r="K528" s="62" t="n">
        <v>46048</v>
      </c>
      <c r="L528" s="67" t="inlineStr">
        <is>
          <t>Jessica</t>
        </is>
      </c>
      <c r="M528" s="40" t="inlineStr">
        <is>
          <t>Cumprido</t>
        </is>
      </c>
      <c r="N528" s="62" t="n">
        <v>46048</v>
      </c>
      <c r="O528" s="67" t="inlineStr">
        <is>
          <t xml:space="preserve">Edital de Transação do RS anexo </t>
        </is>
      </c>
    </row>
    <row r="529">
      <c r="A529" s="40" t="n"/>
      <c r="B529" s="40" t="inlineStr">
        <is>
          <t>Outras</t>
        </is>
      </c>
      <c r="D529" s="67" t="inlineStr">
        <is>
          <t>Marelize Controladoria</t>
        </is>
      </c>
      <c r="E529" s="62" t="n">
        <v>46055</v>
      </c>
      <c r="I529" s="67" t="inlineStr">
        <is>
          <t>5069978-85.2025.8.24.0930</t>
        </is>
      </c>
      <c r="J529" s="67" t="inlineStr">
        <is>
          <t>Tarefa</t>
        </is>
      </c>
      <c r="K529" s="62" t="n">
        <v>46048</v>
      </c>
      <c r="L529" s="67" t="inlineStr">
        <is>
          <t>Jessica</t>
        </is>
      </c>
      <c r="M529" s="40" t="inlineStr">
        <is>
          <t>Cumprido</t>
        </is>
      </c>
      <c r="N529" s="62" t="n">
        <v>46048</v>
      </c>
      <c r="O529" s="67" t="inlineStr">
        <is>
          <t>Elaboração</t>
        </is>
      </c>
    </row>
    <row r="530">
      <c r="A530" s="40" t="n"/>
      <c r="B530" s="40" t="inlineStr">
        <is>
          <t>Outras</t>
        </is>
      </c>
      <c r="D530" s="67" t="inlineStr">
        <is>
          <t>Pedro Victor</t>
        </is>
      </c>
      <c r="E530" s="62" t="n">
        <v>46056</v>
      </c>
      <c r="I530" s="67" t="inlineStr">
        <is>
          <t>50012521020248240020</t>
        </is>
      </c>
      <c r="J530" s="67" t="inlineStr">
        <is>
          <t>Tarefa</t>
        </is>
      </c>
      <c r="K530" s="62" t="n">
        <v>46048</v>
      </c>
      <c r="L530" s="67" t="inlineStr">
        <is>
          <t>Renata Francisco Becker</t>
        </is>
      </c>
      <c r="M530" s="40" t="inlineStr">
        <is>
          <t>Cumprido</t>
        </is>
      </c>
      <c r="N530" s="62" t="n">
        <v>46048</v>
      </c>
      <c r="O530" s="67" t="inlineStr">
        <is>
          <t>Possibilidade de ED</t>
        </is>
      </c>
    </row>
    <row r="531">
      <c r="A531" s="40" t="inlineStr">
        <is>
          <t>5090247-19.2023.8.24.0930</t>
        </is>
      </c>
      <c r="B531" s="40" t="inlineStr">
        <is>
          <t>Outras</t>
        </is>
      </c>
      <c r="D531" s="67" t="inlineStr">
        <is>
          <t>Renata Francisco Becker</t>
        </is>
      </c>
      <c r="E531" s="62" t="n">
        <v>45414</v>
      </c>
      <c r="F531" s="67" t="inlineStr">
        <is>
          <t>4º Juízo da Unidade Estadual de Direito Bancário</t>
        </is>
      </c>
      <c r="I531" s="67" t="inlineStr">
        <is>
          <t>5028872-60.2025.8.24.0020</t>
        </is>
      </c>
      <c r="J531" s="67" t="inlineStr">
        <is>
          <t>Tarefa</t>
        </is>
      </c>
      <c r="K531" s="62" t="n">
        <v>46048</v>
      </c>
      <c r="L531" s="67" t="inlineStr">
        <is>
          <t>Julia</t>
        </is>
      </c>
      <c r="M531" s="40" t="inlineStr">
        <is>
          <t>Cumprido</t>
        </is>
      </c>
      <c r="N531" s="62" t="n">
        <v>46048</v>
      </c>
      <c r="O531" s="67" t="inlineStr">
        <is>
          <t>prazo Analisar situação e dar retorno ao cliente.</t>
        </is>
      </c>
    </row>
    <row r="532">
      <c r="A532" s="40" t="n"/>
      <c r="B532" s="40" t="inlineStr">
        <is>
          <t>Outras</t>
        </is>
      </c>
      <c r="D532" s="67" t="inlineStr">
        <is>
          <t>Marelize Controladoria</t>
        </is>
      </c>
      <c r="E532" s="62" t="n">
        <v>46037</v>
      </c>
      <c r="I532" s="67" t="inlineStr"/>
      <c r="J532" s="67" t="inlineStr">
        <is>
          <t>Tarefa</t>
        </is>
      </c>
      <c r="K532" s="62" t="n">
        <v>46048</v>
      </c>
      <c r="L532" s="67" t="inlineStr">
        <is>
          <t>Renata Francisco Becker</t>
        </is>
      </c>
      <c r="M532" s="40" t="inlineStr">
        <is>
          <t>Cumprido</t>
        </is>
      </c>
      <c r="N532" s="62" t="n">
        <v>46048</v>
      </c>
      <c r="O532" s="67" t="inlineStr">
        <is>
          <t xml:space="preserve">Revisão </t>
        </is>
      </c>
    </row>
    <row r="533">
      <c r="A533" s="40" t="inlineStr">
        <is>
          <t>50505.002577/2026-91</t>
        </is>
      </c>
      <c r="B533" s="40" t="inlineStr">
        <is>
          <t>Outras</t>
        </is>
      </c>
      <c r="D533" s="67" t="inlineStr">
        <is>
          <t>Marelize Controladoria</t>
        </is>
      </c>
      <c r="E533" s="62" t="n">
        <v>46037</v>
      </c>
      <c r="I533" s="67" t="inlineStr"/>
      <c r="J533" s="67" t="inlineStr">
        <is>
          <t>Evento</t>
        </is>
      </c>
      <c r="K533" s="62" t="n">
        <v>46048</v>
      </c>
      <c r="L533" s="67" t="inlineStr">
        <is>
          <t>Renata Francisco Becker</t>
        </is>
      </c>
      <c r="M533" s="40" t="inlineStr">
        <is>
          <t>Cumprido</t>
        </is>
      </c>
      <c r="N533" s="62" t="n">
        <v>46048</v>
      </c>
      <c r="O533" s="67" t="inlineStr">
        <is>
          <t>Atendimento Julia e Zenaide</t>
        </is>
      </c>
    </row>
    <row r="534">
      <c r="A534" s="40" t="n"/>
      <c r="B534" s="40" t="inlineStr">
        <is>
          <t>Outras</t>
        </is>
      </c>
      <c r="D534" s="67" t="inlineStr">
        <is>
          <t>Marelize Controladoria</t>
        </is>
      </c>
      <c r="E534" s="62" t="n">
        <v>46045</v>
      </c>
      <c r="I534" s="67" t="inlineStr">
        <is>
          <t>0001682-49.2025.5.12.0003</t>
        </is>
      </c>
      <c r="J534" s="67" t="inlineStr">
        <is>
          <t>Audiência</t>
        </is>
      </c>
      <c r="K534" s="62" t="n">
        <v>46048</v>
      </c>
      <c r="L534" s="67" t="inlineStr">
        <is>
          <t>Luci</t>
        </is>
      </c>
      <c r="M534" s="40" t="inlineStr">
        <is>
          <t>Cumprido</t>
        </is>
      </c>
      <c r="N534" s="62" t="n">
        <v>46048</v>
      </c>
      <c r="O534" s="67" t="inlineStr">
        <is>
          <t>Aud conc. - Homologação de acordo trabalhista BOUTROS YOUSSEF ABBOUD x HF INDUSTRIA E COMERCIO DE COSMETICOS LTDA</t>
        </is>
      </c>
    </row>
    <row r="535">
      <c r="A535" s="40" t="inlineStr">
        <is>
          <t>0000676-07.2025.5.12.0003</t>
        </is>
      </c>
      <c r="B535" s="40" t="inlineStr">
        <is>
          <t>Outras</t>
        </is>
      </c>
      <c r="D535" s="67" t="inlineStr">
        <is>
          <t>Luci</t>
        </is>
      </c>
      <c r="E535" s="62" t="n">
        <v>45735</v>
      </c>
      <c r="F535" s="67" t="inlineStr"/>
      <c r="I535" s="67" t="inlineStr"/>
      <c r="J535" s="67" t="inlineStr">
        <is>
          <t>Evento</t>
        </is>
      </c>
      <c r="K535" s="62" t="n">
        <v>46048</v>
      </c>
      <c r="L535" s="67" t="inlineStr">
        <is>
          <t>Renata Francisco Becker</t>
        </is>
      </c>
      <c r="M535" s="40" t="inlineStr">
        <is>
          <t>Cumprido</t>
        </is>
      </c>
      <c r="N535" s="62" t="n">
        <v>46048</v>
      </c>
      <c r="O535" s="67" t="inlineStr">
        <is>
          <t xml:space="preserve">Consulta Neurosul </t>
        </is>
      </c>
    </row>
    <row r="536">
      <c r="A536" s="40" t="n"/>
      <c r="B536" s="40" t="inlineStr">
        <is>
          <t>Outras</t>
        </is>
      </c>
      <c r="D536" s="67" t="inlineStr">
        <is>
          <t>Marelize Controladoria</t>
        </is>
      </c>
      <c r="E536" s="62" t="n">
        <v>46051</v>
      </c>
      <c r="I536" s="67" t="inlineStr"/>
      <c r="J536" s="67" t="inlineStr">
        <is>
          <t>Prazo</t>
        </is>
      </c>
      <c r="K536" s="62" t="n">
        <v>46049</v>
      </c>
      <c r="L536" s="67" t="inlineStr">
        <is>
          <t>Julia</t>
        </is>
      </c>
      <c r="M536" s="40" t="inlineStr">
        <is>
          <t>Cumprido</t>
        </is>
      </c>
      <c r="N536" s="62" t="n">
        <v>46049</v>
      </c>
      <c r="O536" s="67" t="inlineStr">
        <is>
          <t>Analise contratual Eng Ramos</t>
        </is>
      </c>
    </row>
    <row r="537">
      <c r="A537" s="40" t="inlineStr">
        <is>
          <t>5081667-06.2025.8.24.0000</t>
        </is>
      </c>
      <c r="B537" s="40" t="inlineStr">
        <is>
          <t>Outras</t>
        </is>
      </c>
      <c r="D537" s="67" t="inlineStr">
        <is>
          <t>Renata Francisco Becker</t>
        </is>
      </c>
      <c r="E537" s="62" t="n">
        <v>45937</v>
      </c>
      <c r="F537" s="67" t="inlineStr">
        <is>
          <t>1° Camara de Direito Comecial</t>
        </is>
      </c>
      <c r="I537" s="67" t="inlineStr"/>
      <c r="J537" s="67" t="inlineStr">
        <is>
          <t>Prazo</t>
        </is>
      </c>
      <c r="K537" s="62" t="n">
        <v>46049</v>
      </c>
      <c r="L537" s="67" t="inlineStr">
        <is>
          <t>Jessica</t>
        </is>
      </c>
      <c r="M537" s="40" t="inlineStr">
        <is>
          <t>Cumprido</t>
        </is>
      </c>
      <c r="N537" s="62" t="n">
        <v>46049</v>
      </c>
      <c r="O537" s="67" t="inlineStr">
        <is>
          <t xml:space="preserve">Análise de situação tributaria da empresa </t>
        </is>
      </c>
    </row>
    <row r="538">
      <c r="A538" s="40" t="inlineStr">
        <is>
          <t>0300494-97.2016.8.24.0028</t>
        </is>
      </c>
      <c r="B538" s="40" t="inlineStr">
        <is>
          <t>Outras</t>
        </is>
      </c>
      <c r="D538" s="67" t="inlineStr">
        <is>
          <t>Renata Francisco Becker</t>
        </is>
      </c>
      <c r="E538" s="62" t="n">
        <v>45320</v>
      </c>
      <c r="F538" s="67" t="inlineStr"/>
      <c r="I538" s="67" t="inlineStr">
        <is>
          <t>5012154-68.2019.4.04.7204</t>
        </is>
      </c>
      <c r="J538" s="67" t="inlineStr">
        <is>
          <t>Prazo</t>
        </is>
      </c>
      <c r="K538" s="62" t="n">
        <v>46049</v>
      </c>
      <c r="L538" s="67" t="inlineStr">
        <is>
          <t>Renata Francisco Becker</t>
        </is>
      </c>
      <c r="M538" s="40" t="inlineStr">
        <is>
          <t>Cumprido</t>
        </is>
      </c>
      <c r="N538" s="62" t="n">
        <v>46049</v>
      </c>
      <c r="O538" s="67" t="inlineStr">
        <is>
          <t xml:space="preserve">Ciencia nao acolhido impug. </t>
        </is>
      </c>
    </row>
    <row r="539">
      <c r="A539" s="40" t="inlineStr">
        <is>
          <t>5003677-49.2025.8.24.0028</t>
        </is>
      </c>
      <c r="B539" s="40" t="inlineStr">
        <is>
          <t>Outras</t>
        </is>
      </c>
      <c r="D539" s="67" t="inlineStr">
        <is>
          <t>Renata Francisco Becker</t>
        </is>
      </c>
      <c r="E539" s="62" t="n">
        <v>45847</v>
      </c>
      <c r="F539" s="67" t="inlineStr"/>
      <c r="I539" s="67" t="inlineStr">
        <is>
          <t>50617396920258240000</t>
        </is>
      </c>
      <c r="J539" s="67" t="inlineStr">
        <is>
          <t>Prazo</t>
        </is>
      </c>
      <c r="K539" s="62" t="n">
        <v>46049</v>
      </c>
      <c r="L539" s="67" t="inlineStr">
        <is>
          <t>Renata Francisco Becker</t>
        </is>
      </c>
      <c r="M539" s="40" t="inlineStr">
        <is>
          <t>Cumprido</t>
        </is>
      </c>
      <c r="N539" s="62" t="n">
        <v>46049</v>
      </c>
      <c r="O539" s="67" t="inlineStr">
        <is>
          <t>Contrarrazões PF 30/01</t>
        </is>
      </c>
    </row>
    <row r="540">
      <c r="A540" s="40" t="inlineStr">
        <is>
          <t>5005033-40.2024.8.24.0020</t>
        </is>
      </c>
      <c r="B540" s="40" t="inlineStr">
        <is>
          <t>Outras</t>
        </is>
      </c>
      <c r="D540" s="67" t="inlineStr">
        <is>
          <t>Pedro Victor</t>
        </is>
      </c>
      <c r="E540" s="62" t="n">
        <v>45355</v>
      </c>
      <c r="F540" s="67" t="inlineStr">
        <is>
          <t>Juízo da 4ª Vara Cível da Comarca de Criciúma</t>
        </is>
      </c>
      <c r="I540" s="67" t="inlineStr">
        <is>
          <t>5004199-49.2020.4.04.7204</t>
        </is>
      </c>
      <c r="J540" s="67" t="inlineStr">
        <is>
          <t>Prazo</t>
        </is>
      </c>
      <c r="K540" s="62" t="n">
        <v>46049</v>
      </c>
      <c r="L540" s="67" t="inlineStr">
        <is>
          <t>Renata Francisco Becker</t>
        </is>
      </c>
      <c r="M540" s="40" t="inlineStr">
        <is>
          <t>Cumprido</t>
        </is>
      </c>
      <c r="N540" s="62" t="n">
        <v>46049</v>
      </c>
      <c r="O540" s="67" t="inlineStr">
        <is>
          <t>Dar ciência com renúncia PF 28/01</t>
        </is>
      </c>
    </row>
    <row r="541">
      <c r="A541" s="40" t="inlineStr">
        <is>
          <t>5012347-83.2019.4.04.7204</t>
        </is>
      </c>
      <c r="B541" s="40" t="inlineStr">
        <is>
          <t>Outras</t>
        </is>
      </c>
      <c r="D541" s="67" t="inlineStr">
        <is>
          <t>Renata Francisco Becker</t>
        </is>
      </c>
      <c r="E541" s="62" t="n">
        <v>44725</v>
      </c>
      <c r="F541" s="67" t="inlineStr">
        <is>
          <t>Juízo Substituto da 4ª VF de Criciúma</t>
        </is>
      </c>
      <c r="I541" s="67" t="inlineStr">
        <is>
          <t>50239155020248240020</t>
        </is>
      </c>
      <c r="J541" s="67" t="inlineStr">
        <is>
          <t>Prazo</t>
        </is>
      </c>
      <c r="K541" s="62" t="n">
        <v>46049</v>
      </c>
      <c r="L541" s="67" t="inlineStr">
        <is>
          <t>Renata Francisco Becker</t>
        </is>
      </c>
      <c r="M541" s="40" t="inlineStr">
        <is>
          <t>Cumprido</t>
        </is>
      </c>
      <c r="N541" s="62" t="n">
        <v>46049</v>
      </c>
      <c r="O541" s="67" t="inlineStr">
        <is>
          <t xml:space="preserve">DISTRIBUIR - Cumprimento de honorarios. </t>
        </is>
      </c>
    </row>
    <row r="542">
      <c r="A542" s="40" t="inlineStr">
        <is>
          <t>50038735020244047204</t>
        </is>
      </c>
      <c r="B542" s="40" t="inlineStr">
        <is>
          <t>Outras</t>
        </is>
      </c>
      <c r="D542" s="67" t="inlineStr">
        <is>
          <t>Renata Francisco Becker</t>
        </is>
      </c>
      <c r="E542" s="62" t="n">
        <v>45600</v>
      </c>
      <c r="F542" s="67" t="inlineStr"/>
      <c r="I542" s="67" t="inlineStr"/>
      <c r="J542" s="67" t="inlineStr">
        <is>
          <t>Prazo</t>
        </is>
      </c>
      <c r="K542" s="62" t="n">
        <v>46049</v>
      </c>
      <c r="L542" s="67" t="inlineStr">
        <is>
          <t>Pedro Victor</t>
        </is>
      </c>
      <c r="M542" s="40" t="inlineStr">
        <is>
          <t>Cumprido</t>
        </is>
      </c>
      <c r="N542" s="62" t="n">
        <v>46049</v>
      </c>
      <c r="O542" s="67" t="inlineStr">
        <is>
          <t>Eduardo Vonsher Registro de Marcas</t>
        </is>
      </c>
    </row>
    <row r="543">
      <c r="A543" s="40" t="inlineStr">
        <is>
          <t>5001938-91.2026.8.24.0000</t>
        </is>
      </c>
      <c r="B543" s="40" t="inlineStr">
        <is>
          <t>Outras</t>
        </is>
      </c>
      <c r="D543" s="67" t="inlineStr">
        <is>
          <t>Marelize Controladoria</t>
        </is>
      </c>
      <c r="E543" s="62" t="n">
        <v>46045</v>
      </c>
      <c r="F543" s="67" t="inlineStr">
        <is>
          <t>Gab. 02 - 9ª Câmara de Direito Civil</t>
        </is>
      </c>
      <c r="I543" s="67" t="inlineStr"/>
      <c r="J543" s="67" t="inlineStr">
        <is>
          <t>Prazo</t>
        </is>
      </c>
      <c r="K543" s="62" t="n">
        <v>46049</v>
      </c>
      <c r="L543" s="67" t="inlineStr">
        <is>
          <t>Julia</t>
        </is>
      </c>
      <c r="M543" s="40" t="inlineStr">
        <is>
          <t>Cumprido</t>
        </is>
      </c>
      <c r="N543" s="62" t="n">
        <v>46049</v>
      </c>
      <c r="O543" s="67" t="inlineStr">
        <is>
          <t>Elaboração de contrato HF Vonsher</t>
        </is>
      </c>
    </row>
    <row r="544">
      <c r="A544" s="40" t="inlineStr">
        <is>
          <t>5048611-04.2025.4.04.7200</t>
        </is>
      </c>
      <c r="B544" s="40" t="inlineStr">
        <is>
          <t>Outras</t>
        </is>
      </c>
      <c r="D544" s="67" t="inlineStr">
        <is>
          <t>Renata Francisco Becker</t>
        </is>
      </c>
      <c r="E544" s="62" t="n">
        <v>45999</v>
      </c>
      <c r="F544" s="67" t="inlineStr"/>
      <c r="I544" s="67" t="inlineStr">
        <is>
          <t>5002869-18.2025.8.24.0166</t>
        </is>
      </c>
      <c r="J544" s="67" t="inlineStr">
        <is>
          <t>Prazo</t>
        </is>
      </c>
      <c r="K544" s="62" t="n">
        <v>46049</v>
      </c>
      <c r="L544" s="67" t="inlineStr">
        <is>
          <t>Renata Francisco Becker</t>
        </is>
      </c>
      <c r="M544" s="40" t="inlineStr">
        <is>
          <t>Cumprido</t>
        </is>
      </c>
      <c r="N544" s="62" t="n">
        <v>46049</v>
      </c>
      <c r="O544" s="67" t="inlineStr">
        <is>
          <t>Prazo</t>
        </is>
      </c>
    </row>
    <row r="545">
      <c r="A545" s="40" t="inlineStr">
        <is>
          <t>5158016-73.2025.8.24.0930</t>
        </is>
      </c>
      <c r="B545" s="40" t="inlineStr">
        <is>
          <t>Outras</t>
        </is>
      </c>
      <c r="D545" s="67" t="inlineStr">
        <is>
          <t>Renata Francisco Becker</t>
        </is>
      </c>
      <c r="E545" s="62" t="n">
        <v>45980</v>
      </c>
      <c r="F545" s="67" t="inlineStr"/>
      <c r="I545" s="67" t="inlineStr">
        <is>
          <t>5000537-54.2020.8.24.0166</t>
        </is>
      </c>
      <c r="J545" s="67" t="inlineStr">
        <is>
          <t>Prazo</t>
        </is>
      </c>
      <c r="K545" s="62" t="n">
        <v>46049</v>
      </c>
      <c r="L545" s="67" t="inlineStr">
        <is>
          <t xml:space="preserve">Alexia </t>
        </is>
      </c>
      <c r="M545" s="40" t="inlineStr">
        <is>
          <t>Cumprido</t>
        </is>
      </c>
      <c r="N545" s="62" t="n">
        <v>46049</v>
      </c>
      <c r="O545" s="67" t="inlineStr">
        <is>
          <t>Prazo</t>
        </is>
      </c>
    </row>
    <row r="546">
      <c r="A546" s="40" t="inlineStr">
        <is>
          <t>5004339-47.2024.8.24.0028</t>
        </is>
      </c>
      <c r="B546" s="40" t="inlineStr">
        <is>
          <t>Outras</t>
        </is>
      </c>
      <c r="D546" s="67" t="inlineStr">
        <is>
          <t>Renata Francisco Becker</t>
        </is>
      </c>
      <c r="E546" s="62" t="n">
        <v>45471</v>
      </c>
      <c r="F546" s="67" t="inlineStr">
        <is>
          <t>Vara Cível</t>
        </is>
      </c>
      <c r="I546" s="67" t="inlineStr">
        <is>
          <t>5024640-10.2022.8.24.0020</t>
        </is>
      </c>
      <c r="J546" s="67" t="inlineStr">
        <is>
          <t>Prazo</t>
        </is>
      </c>
      <c r="K546" s="62" t="n">
        <v>46049</v>
      </c>
      <c r="L546" s="67" t="inlineStr">
        <is>
          <t xml:space="preserve">Alexia </t>
        </is>
      </c>
      <c r="M546" s="40" t="inlineStr">
        <is>
          <t>Cumprido</t>
        </is>
      </c>
      <c r="N546" s="62" t="n">
        <v>46049</v>
      </c>
      <c r="O546" s="67" t="inlineStr">
        <is>
          <t>Prazo</t>
        </is>
      </c>
    </row>
    <row r="547">
      <c r="A547" s="40" t="n"/>
      <c r="B547" s="40" t="inlineStr">
        <is>
          <t>Outras</t>
        </is>
      </c>
      <c r="D547" s="67" t="inlineStr">
        <is>
          <t>Marelize Controladoria</t>
        </is>
      </c>
      <c r="E547" s="62" t="n">
        <v>46052</v>
      </c>
      <c r="I547" s="67" t="inlineStr">
        <is>
          <t>0323800-69.2005.5.12.0027</t>
        </is>
      </c>
      <c r="J547" s="67" t="inlineStr">
        <is>
          <t>Prazo</t>
        </is>
      </c>
      <c r="K547" s="62" t="n">
        <v>46049</v>
      </c>
      <c r="L547" s="67" t="inlineStr">
        <is>
          <t>Renata Francisco Becker</t>
        </is>
      </c>
      <c r="M547" s="40" t="inlineStr">
        <is>
          <t>Cumprido</t>
        </is>
      </c>
      <c r="N547" s="62" t="n">
        <v>46049</v>
      </c>
      <c r="O547" s="67" t="inlineStr">
        <is>
          <t xml:space="preserve">Prazo </t>
        </is>
      </c>
    </row>
    <row r="548">
      <c r="A548" s="40" t="inlineStr">
        <is>
          <t>5344418-78.2025.8.21.7000</t>
        </is>
      </c>
      <c r="B548" s="40" t="inlineStr">
        <is>
          <t>Outras</t>
        </is>
      </c>
      <c r="D548" s="67" t="inlineStr">
        <is>
          <t>Renata Francisco Becker</t>
        </is>
      </c>
      <c r="E548" s="62" t="n">
        <v>45968</v>
      </c>
      <c r="F548" s="67" t="inlineStr"/>
      <c r="I548" s="67" t="inlineStr">
        <is>
          <t>5001153-92.2021.8.24.0166</t>
        </is>
      </c>
      <c r="J548" s="67" t="inlineStr">
        <is>
          <t>Prazo</t>
        </is>
      </c>
      <c r="K548" s="62" t="n">
        <v>46049</v>
      </c>
      <c r="L548" s="67" t="inlineStr">
        <is>
          <t>Renata Francisco Becker</t>
        </is>
      </c>
      <c r="M548" s="40" t="inlineStr">
        <is>
          <t>Cumprido</t>
        </is>
      </c>
      <c r="N548" s="62" t="n">
        <v>46049</v>
      </c>
      <c r="O548" s="67" t="inlineStr">
        <is>
          <t xml:space="preserve">Prazo </t>
        </is>
      </c>
    </row>
    <row r="549">
      <c r="A549" s="40" t="n"/>
      <c r="B549" s="40" t="inlineStr">
        <is>
          <t>Outras</t>
        </is>
      </c>
      <c r="D549" s="67" t="inlineStr">
        <is>
          <t>Pedro Victor</t>
        </is>
      </c>
      <c r="E549" s="62" t="n">
        <v>46038</v>
      </c>
      <c r="I549" s="67" t="inlineStr">
        <is>
          <t>5001164-58.2020.8.24.0166</t>
        </is>
      </c>
      <c r="J549" s="67" t="inlineStr">
        <is>
          <t>Prazo</t>
        </is>
      </c>
      <c r="K549" s="62" t="n">
        <v>46049</v>
      </c>
      <c r="L549" s="67" t="inlineStr">
        <is>
          <t>Renata Francisco Becker</t>
        </is>
      </c>
      <c r="M549" s="40" t="inlineStr">
        <is>
          <t>Cumprido</t>
        </is>
      </c>
      <c r="N549" s="62" t="n">
        <v>46049</v>
      </c>
      <c r="O549" s="67" t="inlineStr">
        <is>
          <t>Prazo</t>
        </is>
      </c>
    </row>
    <row r="550">
      <c r="A550" s="40" t="inlineStr">
        <is>
          <t>0302238-64.2015.8.24.0028</t>
        </is>
      </c>
      <c r="B550" s="40" t="inlineStr">
        <is>
          <t>Outras</t>
        </is>
      </c>
      <c r="D550" s="67" t="inlineStr">
        <is>
          <t>Renata Francisco Becker</t>
        </is>
      </c>
      <c r="E550" s="62" t="n">
        <v>45111</v>
      </c>
      <c r="F550" s="67" t="inlineStr">
        <is>
          <t>Juízo da 2ª Vara Cível da Comarca de Içara</t>
        </is>
      </c>
      <c r="I550" s="67" t="inlineStr">
        <is>
          <t>5016790-79.2025.4.04.7200</t>
        </is>
      </c>
      <c r="J550" s="67" t="inlineStr">
        <is>
          <t>Prazo</t>
        </is>
      </c>
      <c r="K550" s="62" t="n">
        <v>46049</v>
      </c>
      <c r="L550" s="67" t="inlineStr">
        <is>
          <t>Renata Francisco Becker</t>
        </is>
      </c>
      <c r="M550" s="40" t="inlineStr">
        <is>
          <t>Cumprido</t>
        </is>
      </c>
      <c r="N550" s="62" t="n">
        <v>46049</v>
      </c>
      <c r="O550" s="67" t="inlineStr">
        <is>
          <t>Prazo</t>
        </is>
      </c>
    </row>
    <row r="551">
      <c r="A551" s="40" t="inlineStr">
        <is>
          <t>50736220720238240930</t>
        </is>
      </c>
      <c r="B551" s="40" t="inlineStr">
        <is>
          <t>Outras</t>
        </is>
      </c>
      <c r="D551" s="67" t="inlineStr">
        <is>
          <t>Marelize Controladoria</t>
        </is>
      </c>
      <c r="E551" s="62" t="n">
        <v>46035</v>
      </c>
      <c r="F551" s="67" t="inlineStr">
        <is>
          <t>12º Juízo da Vara Estadual de Direito Bancário</t>
        </is>
      </c>
      <c r="I551" s="67" t="inlineStr">
        <is>
          <t>5008261-61.2019.8.24.0064</t>
        </is>
      </c>
      <c r="J551" s="67" t="inlineStr">
        <is>
          <t>Prazo</t>
        </is>
      </c>
      <c r="K551" s="62" t="n">
        <v>46049</v>
      </c>
      <c r="L551" s="67" t="inlineStr">
        <is>
          <t xml:space="preserve">Alexia </t>
        </is>
      </c>
      <c r="M551" s="40" t="inlineStr">
        <is>
          <t>Cumprido</t>
        </is>
      </c>
      <c r="N551" s="62" t="n">
        <v>46049</v>
      </c>
      <c r="O551" s="67" t="inlineStr">
        <is>
          <t xml:space="preserve">Prazo </t>
        </is>
      </c>
    </row>
    <row r="552">
      <c r="A552" s="40" t="inlineStr">
        <is>
          <t>0001590-96.2025.5.12.0027</t>
        </is>
      </c>
      <c r="B552" s="40" t="inlineStr">
        <is>
          <t>Outras</t>
        </is>
      </c>
      <c r="D552" s="67" t="inlineStr">
        <is>
          <t>Renata Francisco Becker</t>
        </is>
      </c>
      <c r="E552" s="62" t="n">
        <v>45978</v>
      </c>
      <c r="F552" s="67" t="inlineStr">
        <is>
          <t>Vara do Trabalho</t>
        </is>
      </c>
      <c r="I552" s="67" t="inlineStr">
        <is>
          <t>5003399-87.2021.8.24.0028</t>
        </is>
      </c>
      <c r="J552" s="67" t="inlineStr">
        <is>
          <t>Prazo</t>
        </is>
      </c>
      <c r="K552" s="62" t="n">
        <v>46049</v>
      </c>
      <c r="L552" s="67" t="inlineStr">
        <is>
          <t>Renata Francisco Becker</t>
        </is>
      </c>
      <c r="M552" s="40" t="inlineStr">
        <is>
          <t>Cumprido</t>
        </is>
      </c>
      <c r="N552" s="62" t="n">
        <v>46049</v>
      </c>
      <c r="O552" s="67" t="inlineStr">
        <is>
          <t>Prazo Att valores PF 29/01</t>
        </is>
      </c>
    </row>
    <row r="553">
      <c r="A553" s="40" t="n"/>
      <c r="B553" s="40" t="inlineStr">
        <is>
          <t>Outras</t>
        </is>
      </c>
      <c r="D553" s="67" t="inlineStr">
        <is>
          <t>Pedro Victor</t>
        </is>
      </c>
      <c r="E553" s="62" t="n">
        <v>45743</v>
      </c>
      <c r="I553" s="67" t="inlineStr">
        <is>
          <t>5091525-61.2025.8.24.0000</t>
        </is>
      </c>
      <c r="J553" s="67" t="inlineStr">
        <is>
          <t>Prazo</t>
        </is>
      </c>
      <c r="K553" s="62" t="n">
        <v>46049</v>
      </c>
      <c r="L553" s="67" t="inlineStr">
        <is>
          <t>Renata Francisco Becker</t>
        </is>
      </c>
      <c r="M553" s="40" t="inlineStr">
        <is>
          <t>Cumprido</t>
        </is>
      </c>
      <c r="N553" s="62" t="n">
        <v>46049</v>
      </c>
      <c r="O553" s="67" t="inlineStr">
        <is>
          <t>prazo ciencia acoordão nivaldo</t>
        </is>
      </c>
    </row>
    <row r="554">
      <c r="A554" s="40" t="n"/>
      <c r="B554" s="40" t="inlineStr">
        <is>
          <t>Outras</t>
        </is>
      </c>
      <c r="D554" s="67" t="inlineStr">
        <is>
          <t>Marelize Controladoria</t>
        </is>
      </c>
      <c r="E554" s="62" t="n">
        <v>46041</v>
      </c>
      <c r="I554" s="67" t="inlineStr">
        <is>
          <t>5033219-02.2025.8.24.0000</t>
        </is>
      </c>
      <c r="J554" s="67" t="inlineStr">
        <is>
          <t>Prazo</t>
        </is>
      </c>
      <c r="K554" s="62" t="n">
        <v>46049</v>
      </c>
      <c r="L554" s="67" t="inlineStr">
        <is>
          <t>Renata Francisco Becker</t>
        </is>
      </c>
      <c r="M554" s="40" t="inlineStr">
        <is>
          <t>Cumprido</t>
        </is>
      </c>
      <c r="N554" s="62" t="n">
        <v>46049</v>
      </c>
      <c r="O554" s="67" t="inlineStr">
        <is>
          <t>Prazo Decisão PF 28/01</t>
        </is>
      </c>
    </row>
    <row r="555">
      <c r="A555" s="40" t="inlineStr">
        <is>
          <t>10485867120258260100</t>
        </is>
      </c>
      <c r="B555" s="40" t="inlineStr">
        <is>
          <t>Outras</t>
        </is>
      </c>
      <c r="D555" s="67" t="inlineStr">
        <is>
          <t>Renata Francisco Becker</t>
        </is>
      </c>
      <c r="E555" s="62" t="n">
        <v>45665</v>
      </c>
      <c r="F555" s="67" t="inlineStr">
        <is>
          <t>Foro Central</t>
        </is>
      </c>
      <c r="I555" s="67" t="inlineStr">
        <is>
          <t>5030853-27.2025.8.24.0020</t>
        </is>
      </c>
      <c r="J555" s="67" t="inlineStr">
        <is>
          <t>Prazo</t>
        </is>
      </c>
      <c r="K555" s="62" t="n">
        <v>46049</v>
      </c>
      <c r="L555" s="67" t="inlineStr">
        <is>
          <t>Jessica</t>
        </is>
      </c>
      <c r="M555" s="40" t="inlineStr">
        <is>
          <t>Cumprido</t>
        </is>
      </c>
      <c r="N555" s="62" t="n">
        <v>46049</v>
      </c>
      <c r="O555" s="67" t="inlineStr">
        <is>
          <t>prazo no eproc aberto.... Verificar - se ja foi feito dar ciencia ou descrever o pq esta aberto - valew</t>
        </is>
      </c>
    </row>
    <row r="556">
      <c r="A556" s="40" t="inlineStr">
        <is>
          <t>5025579-82.2025.8.24.0020</t>
        </is>
      </c>
      <c r="B556" s="40" t="inlineStr">
        <is>
          <t>Outras</t>
        </is>
      </c>
      <c r="D556" s="67" t="inlineStr">
        <is>
          <t>Renata Francisco Becker</t>
        </is>
      </c>
      <c r="E556" s="62" t="n">
        <v>45950</v>
      </c>
      <c r="F556" s="67" t="inlineStr">
        <is>
          <t>Juizado Especial Cível</t>
        </is>
      </c>
      <c r="I556" s="67" t="inlineStr">
        <is>
          <t>0003005-61.2025.8.16.0154</t>
        </is>
      </c>
      <c r="J556" s="67" t="inlineStr">
        <is>
          <t>Prazo</t>
        </is>
      </c>
      <c r="K556" s="62" t="n">
        <v>46049</v>
      </c>
      <c r="L556" s="67" t="inlineStr">
        <is>
          <t>Renata Francisco Becker</t>
        </is>
      </c>
      <c r="M556" s="40" t="inlineStr">
        <is>
          <t>Cumprido</t>
        </is>
      </c>
      <c r="N556" s="62" t="n">
        <v>46049</v>
      </c>
      <c r="O556" s="67" t="inlineStr">
        <is>
          <t>Prazo PF 29/01</t>
        </is>
      </c>
    </row>
    <row r="557">
      <c r="A557" s="40" t="inlineStr">
        <is>
          <t>4000063-85.2025.8.26.0646</t>
        </is>
      </c>
      <c r="B557" s="40" t="inlineStr">
        <is>
          <t>Outras</t>
        </is>
      </c>
      <c r="D557" s="67" t="inlineStr">
        <is>
          <t>Renata Francisco Becker</t>
        </is>
      </c>
      <c r="E557" s="62" t="n">
        <v>45847</v>
      </c>
      <c r="F557" s="67" t="inlineStr">
        <is>
          <t>Vara do Juizado</t>
        </is>
      </c>
      <c r="I557" s="67" t="inlineStr">
        <is>
          <t>50055518420238240078</t>
        </is>
      </c>
      <c r="J557" s="67" t="inlineStr">
        <is>
          <t>Prazo</t>
        </is>
      </c>
      <c r="K557" s="62" t="n">
        <v>46049</v>
      </c>
      <c r="L557" s="67" t="inlineStr">
        <is>
          <t>Renata Francisco Becker</t>
        </is>
      </c>
      <c r="M557" s="40" t="inlineStr">
        <is>
          <t>Cumprido</t>
        </is>
      </c>
      <c r="N557" s="62" t="n">
        <v>46049</v>
      </c>
      <c r="O557" s="67" t="inlineStr">
        <is>
          <t>prazo ramos. pf29.01</t>
        </is>
      </c>
    </row>
    <row r="558">
      <c r="A558" s="40" t="n"/>
      <c r="B558" s="40" t="inlineStr">
        <is>
          <t>Outras</t>
        </is>
      </c>
      <c r="D558" s="67" t="inlineStr">
        <is>
          <t>Marelize Controladoria</t>
        </is>
      </c>
      <c r="E558" s="62" t="n">
        <v>46042</v>
      </c>
      <c r="I558" s="67" t="inlineStr">
        <is>
          <t>5026124-09.2025.4.04.0000</t>
        </is>
      </c>
      <c r="J558" s="67" t="inlineStr">
        <is>
          <t>Prazo</t>
        </is>
      </c>
      <c r="K558" s="62" t="n">
        <v>46049</v>
      </c>
      <c r="L558" s="67" t="inlineStr">
        <is>
          <t>Jessica</t>
        </is>
      </c>
      <c r="M558" s="40" t="inlineStr">
        <is>
          <t>Cumprido</t>
        </is>
      </c>
      <c r="N558" s="62" t="n">
        <v>46049</v>
      </c>
      <c r="O558" s="67" t="inlineStr">
        <is>
          <t xml:space="preserve">prazo trib </t>
        </is>
      </c>
    </row>
    <row r="559">
      <c r="A559" s="40" t="n"/>
      <c r="B559" s="40" t="inlineStr">
        <is>
          <t>Outras</t>
        </is>
      </c>
      <c r="D559" s="67" t="inlineStr">
        <is>
          <t>Marelize Controladoria</t>
        </is>
      </c>
      <c r="E559" s="62" t="n">
        <v>46050</v>
      </c>
      <c r="I559" s="67" t="inlineStr">
        <is>
          <t>50061370320258240030</t>
        </is>
      </c>
      <c r="J559" s="67" t="inlineStr">
        <is>
          <t>Prazo</t>
        </is>
      </c>
      <c r="K559" s="62" t="n">
        <v>46049</v>
      </c>
      <c r="L559" s="67" t="inlineStr">
        <is>
          <t>Renata Francisco Becker</t>
        </is>
      </c>
      <c r="M559" s="40" t="inlineStr">
        <is>
          <t>Cumprido</t>
        </is>
      </c>
      <c r="N559" s="62" t="n">
        <v>46049</v>
      </c>
      <c r="O559" s="67" t="inlineStr">
        <is>
          <t xml:space="preserve">Prazo URGENTE </t>
        </is>
      </c>
    </row>
    <row r="560">
      <c r="A560" s="40" t="inlineStr">
        <is>
          <t>5005478-34.2024.8.24.0028</t>
        </is>
      </c>
      <c r="B560" s="40" t="inlineStr">
        <is>
          <t>Outras</t>
        </is>
      </c>
      <c r="D560" s="67" t="inlineStr">
        <is>
          <t>Renata Francisco Becker</t>
        </is>
      </c>
      <c r="E560" s="62" t="n">
        <v>45754</v>
      </c>
      <c r="F560" s="67" t="inlineStr"/>
      <c r="I560" s="67" t="inlineStr">
        <is>
          <t>5025579-82.2025.8.24.0020</t>
        </is>
      </c>
      <c r="J560" s="67" t="inlineStr">
        <is>
          <t>Tarefa</t>
        </is>
      </c>
      <c r="K560" s="62" t="n">
        <v>46049</v>
      </c>
      <c r="L560" s="67" t="inlineStr">
        <is>
          <t xml:space="preserve">Lucas </t>
        </is>
      </c>
      <c r="M560" s="40" t="inlineStr">
        <is>
          <t>Cumprido</t>
        </is>
      </c>
      <c r="N560" s="62" t="n">
        <v>46049</v>
      </c>
      <c r="O560" s="67" t="inlineStr">
        <is>
          <t>Elaboração</t>
        </is>
      </c>
    </row>
    <row r="561">
      <c r="A561" s="40" t="inlineStr">
        <is>
          <t>5016790-79.2025.4.04.7200</t>
        </is>
      </c>
      <c r="B561" s="40" t="inlineStr">
        <is>
          <t>Outras</t>
        </is>
      </c>
      <c r="D561" s="67" t="inlineStr">
        <is>
          <t>Renata Francisco Becker</t>
        </is>
      </c>
      <c r="E561" s="62" t="n">
        <v>45846</v>
      </c>
      <c r="F561" s="67" t="inlineStr"/>
      <c r="I561" s="67" t="inlineStr">
        <is>
          <t>5000453-56.2025.8.24.0076</t>
        </is>
      </c>
      <c r="J561" s="67" t="inlineStr">
        <is>
          <t>Tarefa</t>
        </is>
      </c>
      <c r="K561" s="62" t="n">
        <v>46049</v>
      </c>
      <c r="L561" s="67" t="inlineStr">
        <is>
          <t>Jessica</t>
        </is>
      </c>
      <c r="M561" s="40" t="inlineStr">
        <is>
          <t>Cumprido</t>
        </is>
      </c>
      <c r="N561" s="62" t="n">
        <v>46049</v>
      </c>
      <c r="O561" s="67" t="inlineStr">
        <is>
          <t>Elaboração</t>
        </is>
      </c>
    </row>
    <row r="562">
      <c r="A562" s="40" t="n"/>
      <c r="B562" s="40" t="inlineStr">
        <is>
          <t>Outras</t>
        </is>
      </c>
      <c r="D562" s="67" t="inlineStr">
        <is>
          <t>Marelize Controladoria</t>
        </is>
      </c>
      <c r="E562" s="62" t="n">
        <v>46044</v>
      </c>
      <c r="I562" s="67" t="inlineStr">
        <is>
          <t>5012154-68.2019.4.04.7204</t>
        </is>
      </c>
      <c r="J562" s="67" t="inlineStr">
        <is>
          <t>Tarefa</t>
        </is>
      </c>
      <c r="K562" s="62" t="n">
        <v>46049</v>
      </c>
      <c r="L562" s="67" t="inlineStr">
        <is>
          <t xml:space="preserve">Alexia </t>
        </is>
      </c>
      <c r="M562" s="40" t="inlineStr">
        <is>
          <t>Cumprido</t>
        </is>
      </c>
      <c r="N562" s="62" t="n">
        <v>46049</v>
      </c>
      <c r="O562" s="67" t="inlineStr">
        <is>
          <t>Elaboração</t>
        </is>
      </c>
    </row>
    <row r="563">
      <c r="A563" s="40" t="inlineStr">
        <is>
          <t>0001650-69.2025.5.12.0027</t>
        </is>
      </c>
      <c r="B563" s="40" t="inlineStr">
        <is>
          <t>Outras</t>
        </is>
      </c>
      <c r="D563" s="67" t="inlineStr">
        <is>
          <t>Renata Francisco Becker</t>
        </is>
      </c>
      <c r="E563" s="62" t="n">
        <v>45960</v>
      </c>
      <c r="F563" s="67" t="inlineStr"/>
      <c r="I563" s="67" t="inlineStr">
        <is>
          <t>0000500-51.2025.5.12.0060</t>
        </is>
      </c>
      <c r="J563" s="67" t="inlineStr">
        <is>
          <t>Tarefa</t>
        </is>
      </c>
      <c r="K563" s="62" t="n">
        <v>46049</v>
      </c>
      <c r="L563" s="67" t="inlineStr">
        <is>
          <t>Luci</t>
        </is>
      </c>
      <c r="M563" s="40" t="inlineStr">
        <is>
          <t>Cumprido</t>
        </is>
      </c>
      <c r="N563" s="62" t="n">
        <v>46049</v>
      </c>
      <c r="O563" s="67" t="inlineStr">
        <is>
          <t>Protocolo</t>
        </is>
      </c>
    </row>
    <row r="564">
      <c r="A564" s="40" t="inlineStr">
        <is>
          <t>0003005-61.2025.8.16.0154</t>
        </is>
      </c>
      <c r="B564" s="40" t="inlineStr">
        <is>
          <t>Outras</t>
        </is>
      </c>
      <c r="D564" s="67" t="inlineStr">
        <is>
          <t>Renata Francisco Becker</t>
        </is>
      </c>
      <c r="E564" s="62" t="n">
        <v>46000</v>
      </c>
      <c r="F564" s="67" t="inlineStr"/>
      <c r="I564" s="67" t="inlineStr">
        <is>
          <t>5023319-32.2025.8.24.0020</t>
        </is>
      </c>
      <c r="J564" s="67" t="inlineStr">
        <is>
          <t>Tarefa</t>
        </is>
      </c>
      <c r="K564" s="62" t="n">
        <v>46049</v>
      </c>
      <c r="L564" s="67" t="inlineStr">
        <is>
          <t xml:space="preserve">Alexia </t>
        </is>
      </c>
      <c r="M564" s="40" t="inlineStr">
        <is>
          <t>Cumprido</t>
        </is>
      </c>
      <c r="N564" s="62" t="n">
        <v>46049</v>
      </c>
      <c r="O564" s="67" t="inlineStr">
        <is>
          <t>Protocolo</t>
        </is>
      </c>
    </row>
    <row r="565">
      <c r="A565" s="40" t="inlineStr">
        <is>
          <t>5002064-67.2020.8.24.0028</t>
        </is>
      </c>
      <c r="B565" s="40" t="inlineStr">
        <is>
          <t>Outras</t>
        </is>
      </c>
      <c r="D565" s="67" t="inlineStr">
        <is>
          <t>Renata Francisco Becker</t>
        </is>
      </c>
      <c r="E565" s="62" t="n">
        <v>44789</v>
      </c>
      <c r="F565" s="67" t="inlineStr">
        <is>
          <t>Juízo da 1ª Vara da Comarca de Içara</t>
        </is>
      </c>
      <c r="I565" s="67" t="inlineStr">
        <is>
          <t>5011984-50.2024.8.24.0020</t>
        </is>
      </c>
      <c r="J565" s="67" t="inlineStr">
        <is>
          <t>Tarefa</t>
        </is>
      </c>
      <c r="K565" s="62" t="n">
        <v>46049</v>
      </c>
      <c r="L565" s="67" t="inlineStr">
        <is>
          <t>Renata Francisco Becker</t>
        </is>
      </c>
      <c r="M565" s="40" t="inlineStr">
        <is>
          <t>Cumprido</t>
        </is>
      </c>
      <c r="N565" s="62" t="n">
        <v>46049</v>
      </c>
      <c r="O565" s="67" t="inlineStr">
        <is>
          <t>Revisão</t>
        </is>
      </c>
    </row>
    <row r="566">
      <c r="A566" s="40" t="n"/>
      <c r="B566" s="40" t="inlineStr">
        <is>
          <t>Outras</t>
        </is>
      </c>
      <c r="D566" s="67" t="inlineStr">
        <is>
          <t>Pedro Victor</t>
        </is>
      </c>
      <c r="E566" s="62" t="n">
        <v>46048</v>
      </c>
      <c r="I566" s="67" t="inlineStr">
        <is>
          <t>5011984-50.2024.8.24.0020</t>
        </is>
      </c>
      <c r="J566" s="67" t="inlineStr">
        <is>
          <t>Tarefa</t>
        </is>
      </c>
      <c r="K566" s="62" t="n">
        <v>46049</v>
      </c>
      <c r="L566" s="67" t="inlineStr">
        <is>
          <t xml:space="preserve">Alexia </t>
        </is>
      </c>
      <c r="M566" s="40" t="inlineStr">
        <is>
          <t>Cumprido</t>
        </is>
      </c>
      <c r="N566" s="62" t="n">
        <v>46049</v>
      </c>
      <c r="O566" s="67" t="inlineStr">
        <is>
          <t>Revisão</t>
        </is>
      </c>
    </row>
    <row r="567">
      <c r="A567" s="40" t="inlineStr">
        <is>
          <t>03003498620198240076</t>
        </is>
      </c>
      <c r="B567" s="40" t="inlineStr">
        <is>
          <t>Outras</t>
        </is>
      </c>
      <c r="D567" s="67" t="inlineStr">
        <is>
          <t>Renata Francisco Becker</t>
        </is>
      </c>
      <c r="E567" s="62" t="n">
        <v>45735</v>
      </c>
      <c r="F567" s="67" t="inlineStr"/>
      <c r="I567" s="67" t="inlineStr">
        <is>
          <t>5029283-06.2025.8.24.0020</t>
        </is>
      </c>
      <c r="J567" s="67" t="inlineStr">
        <is>
          <t>Tarefa</t>
        </is>
      </c>
      <c r="K567" s="62" t="n">
        <v>46049</v>
      </c>
      <c r="L567" s="67" t="inlineStr">
        <is>
          <t>Pedro Victor</t>
        </is>
      </c>
      <c r="M567" s="40" t="inlineStr">
        <is>
          <t>Cumprido</t>
        </is>
      </c>
      <c r="N567" s="62" t="n">
        <v>46049</v>
      </c>
      <c r="O567" s="67" t="inlineStr">
        <is>
          <t>Revisão</t>
        </is>
      </c>
    </row>
    <row r="568">
      <c r="A568" s="40" t="n"/>
      <c r="B568" s="40" t="inlineStr">
        <is>
          <t>Outras</t>
        </is>
      </c>
      <c r="D568" s="67" t="inlineStr">
        <is>
          <t>Marelize Controladoria</t>
        </is>
      </c>
      <c r="E568" s="62" t="n">
        <v>46044</v>
      </c>
      <c r="I568" s="67" t="inlineStr"/>
      <c r="J568" s="67" t="inlineStr">
        <is>
          <t>Tarefa</t>
        </is>
      </c>
      <c r="K568" s="62" t="n">
        <v>46049</v>
      </c>
      <c r="L568" s="67" t="inlineStr">
        <is>
          <t>Pedro Victor</t>
        </is>
      </c>
      <c r="M568" s="40" t="inlineStr">
        <is>
          <t>Cumprido</t>
        </is>
      </c>
      <c r="N568" s="62" t="n">
        <v>46049</v>
      </c>
      <c r="O568" s="67" t="inlineStr">
        <is>
          <t xml:space="preserve">Abrir grupo no Whattsapp da empresa </t>
        </is>
      </c>
    </row>
    <row r="569">
      <c r="A569" s="40" t="inlineStr">
        <is>
          <t>0000270-11.2017.5.12.0053</t>
        </is>
      </c>
      <c r="B569" s="40" t="inlineStr">
        <is>
          <t>Outras</t>
        </is>
      </c>
      <c r="D569" s="67" t="inlineStr">
        <is>
          <t>Renata Francisco Becker</t>
        </is>
      </c>
      <c r="E569" s="62" t="n">
        <v>44701</v>
      </c>
      <c r="F569" s="67" t="inlineStr">
        <is>
          <t>3ª Vara Do Trabalho De Criciuma</t>
        </is>
      </c>
      <c r="I569" s="67" t="inlineStr"/>
      <c r="J569" s="67" t="inlineStr">
        <is>
          <t>Tarefa</t>
        </is>
      </c>
      <c r="K569" s="62" t="n">
        <v>46049</v>
      </c>
      <c r="L569" s="67" t="inlineStr">
        <is>
          <t>Jessica</t>
        </is>
      </c>
      <c r="M569" s="40" t="inlineStr">
        <is>
          <t>Cumprido</t>
        </is>
      </c>
      <c r="N569" s="62" t="n">
        <v>46049</v>
      </c>
      <c r="O569" s="67" t="inlineStr">
        <is>
          <t xml:space="preserve">Análise de passivos tributário - Fazer relatorio de débitos extrajudiciais e judiciais bem como possibilidades de encaminhamentos </t>
        </is>
      </c>
    </row>
    <row r="570">
      <c r="A570" s="40" t="n"/>
      <c r="B570" s="40" t="inlineStr">
        <is>
          <t>Outras</t>
        </is>
      </c>
      <c r="D570" s="67" t="inlineStr">
        <is>
          <t>Jessica</t>
        </is>
      </c>
      <c r="E570" s="62" t="n">
        <v>45966</v>
      </c>
      <c r="I570" s="67" t="inlineStr"/>
      <c r="J570" s="67" t="inlineStr">
        <is>
          <t>Tarefa</t>
        </is>
      </c>
      <c r="K570" s="62" t="n">
        <v>46049</v>
      </c>
      <c r="L570" s="67" t="inlineStr">
        <is>
          <t>Marelize Controladoria</t>
        </is>
      </c>
      <c r="M570" s="40" t="inlineStr">
        <is>
          <t>Cumprido</t>
        </is>
      </c>
      <c r="N570" s="62" t="n">
        <v>46049</v>
      </c>
      <c r="O570" s="67" t="inlineStr">
        <is>
          <t xml:space="preserve">conferir se fiz certo as atividades pré definidas </t>
        </is>
      </c>
    </row>
    <row r="571">
      <c r="A571" s="40" t="inlineStr">
        <is>
          <t>5007794-80.2025.4.04.7204</t>
        </is>
      </c>
      <c r="B571" s="40" t="inlineStr">
        <is>
          <t>Outras</t>
        </is>
      </c>
      <c r="D571" s="67" t="inlineStr">
        <is>
          <t>Renata Francisco Becker</t>
        </is>
      </c>
      <c r="E571" s="62" t="n">
        <v>45904</v>
      </c>
      <c r="F571" s="67" t="inlineStr">
        <is>
          <t>1° vara federal</t>
        </is>
      </c>
      <c r="I571" s="67" t="inlineStr"/>
      <c r="J571" s="67" t="inlineStr">
        <is>
          <t>Tarefa</t>
        </is>
      </c>
      <c r="K571" s="62" t="n">
        <v>46049</v>
      </c>
      <c r="L571" s="67" t="inlineStr">
        <is>
          <t>Marelize Controladoria</t>
        </is>
      </c>
      <c r="M571" s="40" t="inlineStr">
        <is>
          <t>Cumprido</t>
        </is>
      </c>
      <c r="N571" s="62" t="n">
        <v>46049</v>
      </c>
      <c r="O571" s="67" t="inlineStr">
        <is>
          <t xml:space="preserve">Distribuir tarefa de inicial para a Alexia - colocar lá pra semana que vem, depois que ela finalizar a TLZ e voltar pra agenda normal dela </t>
        </is>
      </c>
    </row>
    <row r="572">
      <c r="A572" s="40" t="inlineStr">
        <is>
          <t>5024817-66.2025.8.24.0020</t>
        </is>
      </c>
      <c r="B572" s="40" t="inlineStr">
        <is>
          <t>Outras</t>
        </is>
      </c>
      <c r="D572" s="67" t="inlineStr">
        <is>
          <t>Renata Francisco Becker</t>
        </is>
      </c>
      <c r="E572" s="62" t="n">
        <v>45943</v>
      </c>
      <c r="F572" s="67" t="inlineStr">
        <is>
          <t>Juizado Especial Cível</t>
        </is>
      </c>
      <c r="I572" s="67" t="inlineStr"/>
      <c r="J572" s="67" t="inlineStr">
        <is>
          <t>Tarefa</t>
        </is>
      </c>
      <c r="K572" s="62" t="n">
        <v>46049</v>
      </c>
      <c r="L572" s="67" t="inlineStr">
        <is>
          <t>Julia</t>
        </is>
      </c>
      <c r="M572" s="40" t="inlineStr">
        <is>
          <t>Cumprido</t>
        </is>
      </c>
      <c r="N572" s="62" t="n">
        <v>46049</v>
      </c>
      <c r="O572" s="67" t="inlineStr">
        <is>
          <t>Elaboração</t>
        </is>
      </c>
    </row>
    <row r="573">
      <c r="A573" s="40" t="inlineStr">
        <is>
          <t>5059459-33.2022.8.24.0000</t>
        </is>
      </c>
      <c r="B573" s="40" t="inlineStr">
        <is>
          <t>Outras</t>
        </is>
      </c>
      <c r="D573" s="67" t="inlineStr">
        <is>
          <t>Renata Francisco Becker</t>
        </is>
      </c>
      <c r="E573" s="62" t="n">
        <v>45793</v>
      </c>
      <c r="F573" s="67" t="inlineStr"/>
      <c r="I573" s="67" t="inlineStr"/>
      <c r="J573" s="67" t="inlineStr">
        <is>
          <t>Tarefa</t>
        </is>
      </c>
      <c r="K573" s="62" t="n">
        <v>46049</v>
      </c>
      <c r="L573" s="67" t="inlineStr">
        <is>
          <t>Julia</t>
        </is>
      </c>
      <c r="M573" s="40" t="inlineStr">
        <is>
          <t>Cumprido</t>
        </is>
      </c>
      <c r="N573" s="62" t="n">
        <v>46049</v>
      </c>
      <c r="O573" s="67" t="inlineStr">
        <is>
          <t>Elaboração</t>
        </is>
      </c>
    </row>
    <row r="574">
      <c r="A574" s="40" t="n"/>
      <c r="B574" s="40" t="inlineStr">
        <is>
          <t>Outras</t>
        </is>
      </c>
      <c r="D574" s="67" t="inlineStr">
        <is>
          <t>Marelize Controladoria</t>
        </is>
      </c>
      <c r="E574" s="62" t="n">
        <v>46044</v>
      </c>
      <c r="I574" s="67" t="inlineStr"/>
      <c r="J574" s="67" t="inlineStr">
        <is>
          <t>Tarefa</t>
        </is>
      </c>
      <c r="K574" s="62" t="n">
        <v>46049</v>
      </c>
      <c r="L574" s="67" t="inlineStr">
        <is>
          <t>Jessica</t>
        </is>
      </c>
      <c r="M574" s="40" t="inlineStr">
        <is>
          <t>Cumprido</t>
        </is>
      </c>
      <c r="N574" s="62" t="n">
        <v>46049</v>
      </c>
      <c r="O574" s="67" t="inlineStr">
        <is>
          <t>Elaboração de clausula tributária</t>
        </is>
      </c>
    </row>
    <row r="575">
      <c r="A575" s="40" t="n"/>
      <c r="B575" s="40" t="inlineStr">
        <is>
          <t>Outras</t>
        </is>
      </c>
      <c r="D575" s="67" t="inlineStr">
        <is>
          <t>Pedro Victor</t>
        </is>
      </c>
      <c r="E575" s="62" t="n">
        <v>46041</v>
      </c>
      <c r="I575" s="67" t="inlineStr"/>
      <c r="J575" s="67" t="inlineStr">
        <is>
          <t>Tarefa</t>
        </is>
      </c>
      <c r="K575" s="62" t="n">
        <v>46049</v>
      </c>
      <c r="L575" s="67" t="inlineStr">
        <is>
          <t>Jessica</t>
        </is>
      </c>
      <c r="M575" s="40" t="inlineStr">
        <is>
          <t>Cumprido</t>
        </is>
      </c>
      <c r="N575" s="62" t="n">
        <v>46049</v>
      </c>
      <c r="O575" s="67" t="inlineStr">
        <is>
          <t>Elaboração de clausula tributária</t>
        </is>
      </c>
    </row>
    <row r="576">
      <c r="A576" s="40" t="n"/>
      <c r="B576" s="40" t="inlineStr">
        <is>
          <t>Outras</t>
        </is>
      </c>
      <c r="D576" s="67" t="inlineStr">
        <is>
          <t>Pedro Victor</t>
        </is>
      </c>
      <c r="E576" s="62" t="n">
        <v>46041</v>
      </c>
      <c r="I576" s="67" t="inlineStr"/>
      <c r="J576" s="67" t="inlineStr">
        <is>
          <t>Tarefa</t>
        </is>
      </c>
      <c r="K576" s="62" t="n">
        <v>46049</v>
      </c>
      <c r="L576" s="67" t="inlineStr">
        <is>
          <t>Pedro Victor</t>
        </is>
      </c>
      <c r="M576" s="40" t="inlineStr">
        <is>
          <t>Cumprido</t>
        </is>
      </c>
      <c r="N576" s="62" t="n">
        <v>46049</v>
      </c>
      <c r="O576" s="67" t="inlineStr">
        <is>
          <t xml:space="preserve">Fazer Transação </t>
        </is>
      </c>
    </row>
    <row r="577">
      <c r="A577" s="40" t="inlineStr">
        <is>
          <t>5007047-70.2024.8.24.0028</t>
        </is>
      </c>
      <c r="B577" s="40" t="inlineStr">
        <is>
          <t>Outras</t>
        </is>
      </c>
      <c r="D577" s="67" t="inlineStr">
        <is>
          <t>Renata Francisco Becker</t>
        </is>
      </c>
      <c r="E577" s="62" t="n">
        <v>45688</v>
      </c>
      <c r="F577" s="67" t="inlineStr">
        <is>
          <t>Juízo da 1ª Vara Cível da Comarca de Içara</t>
        </is>
      </c>
      <c r="I577" s="67" t="inlineStr"/>
      <c r="J577" s="67" t="inlineStr">
        <is>
          <t>Tarefa</t>
        </is>
      </c>
      <c r="K577" s="62" t="n">
        <v>46049</v>
      </c>
      <c r="L577" s="67" t="inlineStr">
        <is>
          <t>Julia</t>
        </is>
      </c>
      <c r="M577" s="40" t="inlineStr">
        <is>
          <t>Cumprido</t>
        </is>
      </c>
      <c r="N577" s="62" t="n">
        <v>46049</v>
      </c>
      <c r="O577" s="67" t="inlineStr">
        <is>
          <t>Finalização</t>
        </is>
      </c>
    </row>
    <row r="578">
      <c r="A578" s="40" t="inlineStr">
        <is>
          <t>5004937-76.2021.8.24.0037</t>
        </is>
      </c>
      <c r="B578" s="40" t="inlineStr">
        <is>
          <t>Outras</t>
        </is>
      </c>
      <c r="D578" s="67" t="inlineStr">
        <is>
          <t>Renata Francisco Becker</t>
        </is>
      </c>
      <c r="E578" s="62" t="n">
        <v>45922</v>
      </c>
      <c r="F578" s="67" t="inlineStr">
        <is>
          <t>Vara</t>
        </is>
      </c>
      <c r="I578" s="67" t="inlineStr"/>
      <c r="J578" s="67" t="inlineStr">
        <is>
          <t>Tarefa</t>
        </is>
      </c>
      <c r="K578" s="62" t="n">
        <v>46049</v>
      </c>
      <c r="L578" s="67" t="inlineStr">
        <is>
          <t>Pedro Victor</t>
        </is>
      </c>
      <c r="M578" s="40" t="inlineStr">
        <is>
          <t>Cumprido</t>
        </is>
      </c>
      <c r="N578" s="62" t="n">
        <v>46049</v>
      </c>
      <c r="O578" s="67" t="inlineStr">
        <is>
          <t>orçamento Ednara r</t>
        </is>
      </c>
    </row>
    <row r="579">
      <c r="A579" s="40" t="inlineStr">
        <is>
          <t>5022996-32.2022.8.24.0020</t>
        </is>
      </c>
      <c r="B579" s="40" t="inlineStr">
        <is>
          <t>Outras</t>
        </is>
      </c>
      <c r="D579" s="67" t="inlineStr">
        <is>
          <t>Renata Francisco Becker</t>
        </is>
      </c>
      <c r="E579" s="62" t="n">
        <v>44851</v>
      </c>
      <c r="F579" s="67" t="inlineStr">
        <is>
          <t>Juizado Especial Cível</t>
        </is>
      </c>
      <c r="I579" s="67" t="inlineStr"/>
      <c r="J579" s="67" t="inlineStr">
        <is>
          <t>Tarefa</t>
        </is>
      </c>
      <c r="K579" s="62" t="n">
        <v>46049</v>
      </c>
      <c r="L579" s="67" t="inlineStr">
        <is>
          <t>Renata Francisco Becker</t>
        </is>
      </c>
      <c r="M579" s="40" t="inlineStr">
        <is>
          <t>Cumprido</t>
        </is>
      </c>
      <c r="N579" s="62" t="n">
        <v>46049</v>
      </c>
      <c r="O579" s="67" t="inlineStr">
        <is>
          <t>resolver gov</t>
        </is>
      </c>
    </row>
    <row r="580">
      <c r="A580" s="40" t="n"/>
      <c r="B580" s="40" t="inlineStr">
        <is>
          <t>Outras</t>
        </is>
      </c>
      <c r="D580" s="67" t="inlineStr">
        <is>
          <t>Pedro Victor</t>
        </is>
      </c>
      <c r="E580" s="62" t="n">
        <v>45986</v>
      </c>
      <c r="I580" s="67" t="inlineStr"/>
      <c r="J580" s="67" t="inlineStr">
        <is>
          <t>Tarefa</t>
        </is>
      </c>
      <c r="K580" s="62" t="n">
        <v>46049</v>
      </c>
      <c r="L580" s="67" t="inlineStr">
        <is>
          <t>Julia</t>
        </is>
      </c>
      <c r="M580" s="40" t="inlineStr">
        <is>
          <t>Cumprido</t>
        </is>
      </c>
      <c r="N580" s="62" t="n">
        <v>46049</v>
      </c>
      <c r="O580" s="67" t="inlineStr">
        <is>
          <t>Revisão</t>
        </is>
      </c>
    </row>
    <row r="581">
      <c r="A581" s="40" t="n"/>
      <c r="B581" s="40" t="inlineStr">
        <is>
          <t>Outras</t>
        </is>
      </c>
      <c r="D581" s="67" t="inlineStr">
        <is>
          <t>Renata Francisco Becker</t>
        </is>
      </c>
      <c r="E581" s="62" t="n">
        <v>45867</v>
      </c>
      <c r="I581" s="67" t="inlineStr"/>
      <c r="J581" s="67" t="inlineStr">
        <is>
          <t>Tarefa</t>
        </is>
      </c>
      <c r="K581" s="62" t="n">
        <v>46049</v>
      </c>
      <c r="L581" s="67" t="inlineStr">
        <is>
          <t>Renata Francisco Becker</t>
        </is>
      </c>
      <c r="M581" s="40" t="inlineStr">
        <is>
          <t>Cumprido</t>
        </is>
      </c>
      <c r="N581" s="62" t="n">
        <v>46049</v>
      </c>
      <c r="O581" s="67" t="inlineStr">
        <is>
          <t xml:space="preserve">Revisão </t>
        </is>
      </c>
    </row>
    <row r="582">
      <c r="A582" s="40" t="n"/>
      <c r="B582" s="40" t="inlineStr">
        <is>
          <t>Outras</t>
        </is>
      </c>
      <c r="D582" s="67" t="inlineStr">
        <is>
          <t>Pedro Victor</t>
        </is>
      </c>
      <c r="E582" s="62" t="n">
        <v>45960</v>
      </c>
      <c r="I582" s="67" t="inlineStr">
        <is>
          <t>0013798-13.2009.8.24.0020</t>
        </is>
      </c>
      <c r="J582" s="67" t="inlineStr">
        <is>
          <t>Evento</t>
        </is>
      </c>
      <c r="K582" s="62" t="n">
        <v>46049</v>
      </c>
      <c r="L582" s="67" t="inlineStr">
        <is>
          <t>Pedro Victor</t>
        </is>
      </c>
      <c r="M582" s="40" t="inlineStr">
        <is>
          <t>Cumprido</t>
        </is>
      </c>
      <c r="N582" s="62" t="n">
        <v>46049</v>
      </c>
      <c r="O582" s="67" t="inlineStr">
        <is>
          <t xml:space="preserve">agendar reunião manentti </t>
        </is>
      </c>
    </row>
    <row r="583">
      <c r="A583" s="40" t="n"/>
      <c r="B583" s="40" t="inlineStr">
        <is>
          <t>Outras</t>
        </is>
      </c>
      <c r="D583" s="67" t="inlineStr">
        <is>
          <t>Pedro Victor</t>
        </is>
      </c>
      <c r="E583" s="62" t="n">
        <v>45950</v>
      </c>
      <c r="I583" s="67" t="inlineStr"/>
      <c r="J583" s="67" t="inlineStr">
        <is>
          <t>Evento</t>
        </is>
      </c>
      <c r="K583" s="62" t="n">
        <v>46049</v>
      </c>
      <c r="L583" s="67" t="inlineStr">
        <is>
          <t>Renata Francisco Becker</t>
        </is>
      </c>
      <c r="M583" s="40" t="inlineStr">
        <is>
          <t>Cumprido</t>
        </is>
      </c>
      <c r="N583" s="62" t="n">
        <v>46049</v>
      </c>
      <c r="O583" s="67" t="inlineStr">
        <is>
          <t>Atendimento Maria Arns</t>
        </is>
      </c>
    </row>
    <row r="584">
      <c r="A584" s="40" t="n"/>
      <c r="B584" s="40" t="inlineStr">
        <is>
          <t>Outras</t>
        </is>
      </c>
      <c r="D584" s="67" t="inlineStr">
        <is>
          <t>Pedro Victor</t>
        </is>
      </c>
      <c r="E584" s="62" t="n">
        <v>46042</v>
      </c>
      <c r="I584" s="67" t="inlineStr">
        <is>
          <t>5023319-32.2025.8.24.0020</t>
        </is>
      </c>
      <c r="J584" s="67" t="inlineStr">
        <is>
          <t>Audiência</t>
        </is>
      </c>
      <c r="K584" s="62" t="n">
        <v>46049</v>
      </c>
      <c r="L584" s="67" t="inlineStr">
        <is>
          <t>Renata Francisco Becker</t>
        </is>
      </c>
      <c r="M584" s="40" t="inlineStr">
        <is>
          <t>Cumprido</t>
        </is>
      </c>
      <c r="N584" s="62" t="n">
        <v>46049</v>
      </c>
      <c r="O584" s="67" t="inlineStr">
        <is>
          <t>Audiencia de Conciliação</t>
        </is>
      </c>
    </row>
    <row r="585">
      <c r="A585" s="40" t="inlineStr">
        <is>
          <t>5007047-70.2024.8.24.0028</t>
        </is>
      </c>
      <c r="B585" s="40" t="inlineStr">
        <is>
          <t>Outras</t>
        </is>
      </c>
      <c r="D585" s="67" t="inlineStr">
        <is>
          <t>Renata Francisco Becker</t>
        </is>
      </c>
      <c r="E585" s="62" t="n">
        <v>45688</v>
      </c>
      <c r="F585" s="67" t="inlineStr"/>
      <c r="I585" s="67" t="inlineStr"/>
      <c r="J585" s="67" t="inlineStr">
        <is>
          <t>Evento</t>
        </is>
      </c>
      <c r="K585" s="62" t="n">
        <v>46049</v>
      </c>
      <c r="L585" s="67" t="inlineStr">
        <is>
          <t>Pedro Victor</t>
        </is>
      </c>
      <c r="M585" s="40" t="inlineStr">
        <is>
          <t>Cumprido</t>
        </is>
      </c>
      <c r="N585" s="62" t="n">
        <v>46049</v>
      </c>
      <c r="O585" s="67" t="inlineStr">
        <is>
          <t>Consulta Ednara Bongiolo Sinquini</t>
        </is>
      </c>
    </row>
    <row r="586">
      <c r="A586" s="40" t="inlineStr">
        <is>
          <t>5004233-27.2026.8.24.0930</t>
        </is>
      </c>
      <c r="B586" s="40" t="inlineStr">
        <is>
          <t>Outras</t>
        </is>
      </c>
      <c r="D586" s="67" t="inlineStr">
        <is>
          <t>Marelize Controladoria</t>
        </is>
      </c>
      <c r="E586" s="62" t="n">
        <v>46037</v>
      </c>
      <c r="F586" s="67" t="inlineStr">
        <is>
          <t>12º Juízo da Vara Estadual de Direito Bancário</t>
        </is>
      </c>
      <c r="I586" s="67" t="inlineStr"/>
      <c r="J586" s="67" t="inlineStr">
        <is>
          <t>Evento</t>
        </is>
      </c>
      <c r="K586" s="62" t="n">
        <v>46049</v>
      </c>
      <c r="L586" s="67" t="inlineStr">
        <is>
          <t>Pedro Victor</t>
        </is>
      </c>
      <c r="M586" s="40" t="inlineStr">
        <is>
          <t>Cumprido</t>
        </is>
      </c>
      <c r="N586" s="62" t="n">
        <v>46049</v>
      </c>
      <c r="O586" s="67" t="inlineStr">
        <is>
          <t>Atendimento de parceria criminal</t>
        </is>
      </c>
    </row>
    <row r="587">
      <c r="A587" s="40" t="inlineStr">
        <is>
          <t>48051.003931/2025-57</t>
        </is>
      </c>
      <c r="B587" s="40" t="inlineStr">
        <is>
          <t>Outras</t>
        </is>
      </c>
      <c r="D587" s="67" t="inlineStr">
        <is>
          <t>Pedro Victor</t>
        </is>
      </c>
      <c r="E587" s="62" t="n">
        <v>45855</v>
      </c>
      <c r="F587" s="67" t="inlineStr"/>
      <c r="I587" s="67" t="inlineStr">
        <is>
          <t>5012238-69.2019.4.04.7204</t>
        </is>
      </c>
      <c r="J587" s="67" t="inlineStr">
        <is>
          <t>Prazo</t>
        </is>
      </c>
      <c r="K587" s="62" t="n">
        <v>46050</v>
      </c>
      <c r="L587" s="67" t="inlineStr">
        <is>
          <t>Renata Francisco Becker</t>
        </is>
      </c>
      <c r="M587" s="40" t="inlineStr">
        <is>
          <t>Cumprido</t>
        </is>
      </c>
      <c r="N587" s="62" t="n">
        <v>46050</v>
      </c>
      <c r="O587" s="67" t="inlineStr">
        <is>
          <t>Dar ciencia no ev 236.</t>
        </is>
      </c>
    </row>
    <row r="588">
      <c r="A588" s="40" t="n"/>
      <c r="B588" s="40" t="inlineStr">
        <is>
          <t>Outras</t>
        </is>
      </c>
      <c r="D588" s="67" t="inlineStr">
        <is>
          <t>Renata Francisco Becker</t>
        </is>
      </c>
      <c r="E588" s="62" t="n">
        <v>45995</v>
      </c>
      <c r="I588" s="67" t="inlineStr">
        <is>
          <t>50239155020248240020</t>
        </is>
      </c>
      <c r="J588" s="67" t="inlineStr">
        <is>
          <t>Prazo</t>
        </is>
      </c>
      <c r="K588" s="62" t="n">
        <v>46050</v>
      </c>
      <c r="L588" s="67" t="inlineStr">
        <is>
          <t>Marelize Controladoria</t>
        </is>
      </c>
      <c r="M588" s="40" t="inlineStr">
        <is>
          <t>Cumprido</t>
        </is>
      </c>
      <c r="N588" s="62" t="n">
        <v>46050</v>
      </c>
      <c r="O588" s="67" t="inlineStr">
        <is>
          <t>DISTRIBUIR - Fazer cumprimento de sentença dos nossos honorarios (Júlia)</t>
        </is>
      </c>
    </row>
    <row r="589">
      <c r="A589" s="40" t="n"/>
      <c r="B589" s="40" t="inlineStr">
        <is>
          <t>Outras</t>
        </is>
      </c>
      <c r="D589" s="67" t="inlineStr">
        <is>
          <t>Marelize Controladoria</t>
        </is>
      </c>
      <c r="E589" s="62" t="n">
        <v>46036</v>
      </c>
      <c r="I589" s="67" t="inlineStr"/>
      <c r="J589" s="67" t="inlineStr">
        <is>
          <t>Prazo</t>
        </is>
      </c>
      <c r="K589" s="62" t="n">
        <v>46050</v>
      </c>
      <c r="L589" s="67" t="inlineStr">
        <is>
          <t>Renata Francisco Becker</t>
        </is>
      </c>
      <c r="M589" s="40" t="inlineStr">
        <is>
          <t>Cumprido</t>
        </is>
      </c>
      <c r="N589" s="62" t="n">
        <v>46050</v>
      </c>
      <c r="O589" s="67" t="inlineStr">
        <is>
          <t>Elaboração de contrato de compra e venda Vonsher</t>
        </is>
      </c>
    </row>
    <row r="590">
      <c r="A590" s="40" t="n"/>
      <c r="B590" s="40" t="inlineStr">
        <is>
          <t>Outras</t>
        </is>
      </c>
      <c r="D590" s="67" t="inlineStr">
        <is>
          <t>Marelize Controladoria</t>
        </is>
      </c>
      <c r="E590" s="62" t="n">
        <v>46038</v>
      </c>
      <c r="I590" s="67" t="inlineStr">
        <is>
          <t>50736220720238240930</t>
        </is>
      </c>
      <c r="J590" s="67" t="inlineStr">
        <is>
          <t>Prazo</t>
        </is>
      </c>
      <c r="K590" s="62" t="n">
        <v>46050</v>
      </c>
      <c r="L590" s="67" t="inlineStr">
        <is>
          <t>Renata Francisco Becker</t>
        </is>
      </c>
      <c r="M590" s="40" t="inlineStr">
        <is>
          <t>Cumprido</t>
        </is>
      </c>
      <c r="N590" s="62" t="n">
        <v>46050</v>
      </c>
      <c r="O590" s="67" t="inlineStr">
        <is>
          <t>Embargos de Terceiro Marcos</t>
        </is>
      </c>
    </row>
    <row r="591">
      <c r="A591" s="40" t="n"/>
      <c r="B591" s="40" t="inlineStr">
        <is>
          <t>Outras</t>
        </is>
      </c>
      <c r="D591" s="67" t="inlineStr">
        <is>
          <t>Marelize Controladoria</t>
        </is>
      </c>
      <c r="E591" s="62" t="n">
        <v>46041</v>
      </c>
      <c r="I591" s="67" t="inlineStr"/>
      <c r="J591" s="67" t="inlineStr">
        <is>
          <t>Prazo</t>
        </is>
      </c>
      <c r="K591" s="62" t="n">
        <v>46050</v>
      </c>
      <c r="L591" s="67" t="inlineStr">
        <is>
          <t>Pedro Victor</t>
        </is>
      </c>
      <c r="M591" s="40" t="inlineStr">
        <is>
          <t>Cumprido</t>
        </is>
      </c>
      <c r="N591" s="62" t="n">
        <v>46050</v>
      </c>
      <c r="O591" s="67" t="inlineStr">
        <is>
          <t>Encaminhamentos Reunião 28/01/2026</t>
        </is>
      </c>
    </row>
    <row r="592">
      <c r="A592" s="40" t="n"/>
      <c r="B592" s="40" t="inlineStr">
        <is>
          <t>Outras</t>
        </is>
      </c>
      <c r="D592" s="67" t="inlineStr">
        <is>
          <t>Renata Francisco Becker</t>
        </is>
      </c>
      <c r="E592" s="62" t="n">
        <v>45706</v>
      </c>
      <c r="I592" s="67" t="inlineStr">
        <is>
          <t>5004339-47.2024.8.24.0028</t>
        </is>
      </c>
      <c r="J592" s="67" t="inlineStr">
        <is>
          <t>Prazo</t>
        </is>
      </c>
      <c r="K592" s="62" t="n">
        <v>46050</v>
      </c>
      <c r="L592" s="67" t="inlineStr">
        <is>
          <t>Jessica</t>
        </is>
      </c>
      <c r="M592" s="40" t="inlineStr">
        <is>
          <t>Cumprido</t>
        </is>
      </c>
      <c r="N592" s="62" t="n">
        <v>46050</v>
      </c>
      <c r="O592" s="67" t="inlineStr">
        <is>
          <t xml:space="preserve">Fazer cumprimento de sentença de honorarios. </t>
        </is>
      </c>
    </row>
    <row r="593">
      <c r="A593" s="40" t="inlineStr">
        <is>
          <t>5003565-33.2025.8.24.0076</t>
        </is>
      </c>
      <c r="B593" s="40" t="inlineStr">
        <is>
          <t>Outras</t>
        </is>
      </c>
      <c r="D593" s="67" t="inlineStr">
        <is>
          <t>Renata Francisco Becker</t>
        </is>
      </c>
      <c r="E593" s="62" t="n">
        <v>46006</v>
      </c>
      <c r="F593" s="67" t="inlineStr"/>
      <c r="I593" s="67" t="inlineStr">
        <is>
          <t>0000148-36.2026.5.12.0003</t>
        </is>
      </c>
      <c r="J593" s="67" t="inlineStr">
        <is>
          <t>Prazo</t>
        </is>
      </c>
      <c r="K593" s="62" t="n">
        <v>46050</v>
      </c>
      <c r="L593" s="67" t="inlineStr">
        <is>
          <t>Luci</t>
        </is>
      </c>
      <c r="M593" s="40" t="inlineStr">
        <is>
          <t>Cumprido</t>
        </is>
      </c>
      <c r="N593" s="62" t="n">
        <v>46050</v>
      </c>
      <c r="O593" s="67" t="inlineStr">
        <is>
          <t>Inicial reclamatória</t>
        </is>
      </c>
    </row>
    <row r="594">
      <c r="A594" s="40" t="inlineStr">
        <is>
          <t>5090235-05.2023.8.24.0930</t>
        </is>
      </c>
      <c r="B594" s="40" t="inlineStr">
        <is>
          <t>Outras</t>
        </is>
      </c>
      <c r="D594" s="67" t="inlineStr">
        <is>
          <t>Renata Francisco Becker</t>
        </is>
      </c>
      <c r="E594" s="62" t="n">
        <v>45457</v>
      </c>
      <c r="F594" s="67" t="inlineStr">
        <is>
          <t>11º Juízo da Unidade Estadual de Direito Bancário</t>
        </is>
      </c>
      <c r="I594" s="67" t="inlineStr">
        <is>
          <t>5048611-04.2025.4.04.7200</t>
        </is>
      </c>
      <c r="J594" s="67" t="inlineStr">
        <is>
          <t>Prazo</t>
        </is>
      </c>
      <c r="K594" s="62" t="n">
        <v>46050</v>
      </c>
      <c r="L594" s="67" t="inlineStr">
        <is>
          <t>Renata Francisco Becker</t>
        </is>
      </c>
      <c r="M594" s="40" t="inlineStr">
        <is>
          <t>Cumprido</t>
        </is>
      </c>
      <c r="N594" s="62" t="n">
        <v>46050</v>
      </c>
      <c r="O594" s="67" t="inlineStr">
        <is>
          <t>Prazo Apelação</t>
        </is>
      </c>
    </row>
    <row r="595">
      <c r="A595" s="40" t="inlineStr">
        <is>
          <t>5003220-94.2025.8.24.0940</t>
        </is>
      </c>
      <c r="B595" s="40" t="inlineStr">
        <is>
          <t>Outras</t>
        </is>
      </c>
      <c r="D595" s="67" t="inlineStr">
        <is>
          <t>Renata Francisco Becker</t>
        </is>
      </c>
      <c r="E595" s="62" t="n">
        <v>45938</v>
      </c>
      <c r="F595" s="67" t="inlineStr">
        <is>
          <t>Vara da Execução Fiscal Estadual</t>
        </is>
      </c>
      <c r="I595" s="67" t="inlineStr">
        <is>
          <t>5001938-91.2026.8.24.0000</t>
        </is>
      </c>
      <c r="J595" s="67" t="inlineStr">
        <is>
          <t>Prazo</t>
        </is>
      </c>
      <c r="K595" s="62" t="n">
        <v>46050</v>
      </c>
      <c r="L595" s="67" t="inlineStr">
        <is>
          <t>Renata Francisco Becker</t>
        </is>
      </c>
      <c r="M595" s="40" t="inlineStr">
        <is>
          <t>Cumprido</t>
        </is>
      </c>
      <c r="N595" s="62" t="n">
        <v>46050</v>
      </c>
      <c r="O595" s="67" t="inlineStr">
        <is>
          <t>Prazo Decisão Agravo</t>
        </is>
      </c>
    </row>
    <row r="596">
      <c r="A596" s="40" t="inlineStr">
        <is>
          <t>5013599-80.2021.8.24.0020</t>
        </is>
      </c>
      <c r="B596" s="40" t="inlineStr">
        <is>
          <t>Outras</t>
        </is>
      </c>
      <c r="D596" s="67" t="inlineStr">
        <is>
          <t>Renata Francisco Becker</t>
        </is>
      </c>
      <c r="E596" s="62" t="n">
        <v>44701</v>
      </c>
      <c r="F596" s="67" t="inlineStr">
        <is>
          <t>Juizo Da 2ª Vara Civel Da Comarca De Criciuma</t>
        </is>
      </c>
      <c r="I596" s="67" t="inlineStr">
        <is>
          <t>5025579-82.2025.8.24.0020</t>
        </is>
      </c>
      <c r="J596" s="67" t="inlineStr">
        <is>
          <t>Prazo</t>
        </is>
      </c>
      <c r="K596" s="62" t="n">
        <v>46050</v>
      </c>
      <c r="L596" s="67" t="inlineStr">
        <is>
          <t xml:space="preserve">Lucas </t>
        </is>
      </c>
      <c r="M596" s="40" t="inlineStr">
        <is>
          <t>Cumprido</t>
        </is>
      </c>
      <c r="N596" s="62" t="n">
        <v>46050</v>
      </c>
      <c r="O596" s="67" t="inlineStr">
        <is>
          <t>Prazo procuração URGENTE</t>
        </is>
      </c>
    </row>
    <row r="597">
      <c r="A597" s="40" t="n"/>
      <c r="B597" s="40" t="inlineStr">
        <is>
          <t>Outras</t>
        </is>
      </c>
      <c r="D597" s="67" t="inlineStr">
        <is>
          <t>Marelize Controladoria</t>
        </is>
      </c>
      <c r="E597" s="62" t="n">
        <v>46038</v>
      </c>
      <c r="I597" s="67" t="inlineStr">
        <is>
          <t>5012554-02.2025.8.24.0020</t>
        </is>
      </c>
      <c r="J597" s="67" t="inlineStr">
        <is>
          <t>Prazo</t>
        </is>
      </c>
      <c r="K597" s="62" t="n">
        <v>46050</v>
      </c>
      <c r="L597" s="67" t="inlineStr">
        <is>
          <t xml:space="preserve">Alexia </t>
        </is>
      </c>
      <c r="M597" s="40" t="inlineStr">
        <is>
          <t>Cumprido</t>
        </is>
      </c>
      <c r="N597" s="62" t="n">
        <v>46050</v>
      </c>
      <c r="O597" s="67" t="inlineStr">
        <is>
          <t>Prazo Provas</t>
        </is>
      </c>
    </row>
    <row r="598">
      <c r="A598" s="40" t="inlineStr">
        <is>
          <t>0000815-81.2025.5.12.0027</t>
        </is>
      </c>
      <c r="B598" s="40" t="inlineStr">
        <is>
          <t>Outras</t>
        </is>
      </c>
      <c r="D598" s="67" t="inlineStr">
        <is>
          <t>Pedro Victor</t>
        </is>
      </c>
      <c r="E598" s="62" t="n">
        <v>45834</v>
      </c>
      <c r="F598" s="67" t="inlineStr">
        <is>
          <t>Vara do Trabalho</t>
        </is>
      </c>
      <c r="I598" s="67" t="inlineStr">
        <is>
          <t>5007007-54.2025.8.24.0028</t>
        </is>
      </c>
      <c r="J598" s="67" t="inlineStr">
        <is>
          <t>Prazo</t>
        </is>
      </c>
      <c r="K598" s="62" t="n">
        <v>46050</v>
      </c>
      <c r="L598" s="67" t="inlineStr">
        <is>
          <t xml:space="preserve">Alexia </t>
        </is>
      </c>
      <c r="M598" s="40" t="inlineStr">
        <is>
          <t>Cumprido</t>
        </is>
      </c>
      <c r="N598" s="62" t="n">
        <v>46050</v>
      </c>
      <c r="O598" s="67" t="inlineStr">
        <is>
          <t>prazo rafael</t>
        </is>
      </c>
    </row>
    <row r="599">
      <c r="A599" s="40" t="n"/>
      <c r="B599" s="40" t="inlineStr">
        <is>
          <t>Outras</t>
        </is>
      </c>
      <c r="D599" s="67" t="inlineStr">
        <is>
          <t>Renata Francisco Becker</t>
        </is>
      </c>
      <c r="E599" s="62" t="n">
        <v>45980</v>
      </c>
      <c r="I599" s="67" t="inlineStr"/>
      <c r="J599" s="67" t="inlineStr">
        <is>
          <t>Prazo</t>
        </is>
      </c>
      <c r="K599" s="62" t="n">
        <v>46050</v>
      </c>
      <c r="L599" s="67" t="inlineStr">
        <is>
          <t>Pedro Victor</t>
        </is>
      </c>
      <c r="M599" s="40" t="inlineStr">
        <is>
          <t>Cumprido</t>
        </is>
      </c>
      <c r="N599" s="62" t="n">
        <v>46050</v>
      </c>
      <c r="O599" s="67" t="inlineStr">
        <is>
          <t>reunião dia 28/01/2026</t>
        </is>
      </c>
    </row>
    <row r="600">
      <c r="A600" s="40" t="inlineStr">
        <is>
          <t>5009605-05.2025.8.24.0020</t>
        </is>
      </c>
      <c r="B600" s="40" t="inlineStr">
        <is>
          <t>Outras</t>
        </is>
      </c>
      <c r="D600" s="67" t="inlineStr">
        <is>
          <t>Renata Francisco Becker</t>
        </is>
      </c>
      <c r="E600" s="62" t="n">
        <v>45804</v>
      </c>
      <c r="F600" s="67" t="inlineStr">
        <is>
          <t>Vara Cível</t>
        </is>
      </c>
      <c r="I600" s="67" t="inlineStr"/>
      <c r="J600" s="67" t="inlineStr">
        <is>
          <t>Prazo</t>
        </is>
      </c>
      <c r="K600" s="62" t="n">
        <v>46050</v>
      </c>
      <c r="L600" s="67" t="inlineStr">
        <is>
          <t>Pedro Victor</t>
        </is>
      </c>
      <c r="M600" s="40" t="inlineStr">
        <is>
          <t>Cumprido</t>
        </is>
      </c>
      <c r="N600" s="62" t="n">
        <v>46050</v>
      </c>
      <c r="O600" s="67" t="inlineStr">
        <is>
          <t>reunião dia 28/01/2026</t>
        </is>
      </c>
    </row>
    <row r="601">
      <c r="A601" s="40" t="n"/>
      <c r="B601" s="40" t="inlineStr">
        <is>
          <t>Outras</t>
        </is>
      </c>
      <c r="D601" s="67" t="inlineStr">
        <is>
          <t>Pedro Victor</t>
        </is>
      </c>
      <c r="E601" s="62" t="n">
        <v>46041</v>
      </c>
      <c r="I601" s="67" t="inlineStr">
        <is>
          <t>0000148-36.2026.5.12.0003</t>
        </is>
      </c>
      <c r="J601" s="67" t="inlineStr">
        <is>
          <t>Tarefa</t>
        </is>
      </c>
      <c r="K601" s="62" t="n">
        <v>46050</v>
      </c>
      <c r="L601" s="67" t="inlineStr">
        <is>
          <t>Luci</t>
        </is>
      </c>
      <c r="M601" s="40" t="inlineStr">
        <is>
          <t>Cumprido</t>
        </is>
      </c>
      <c r="N601" s="62" t="n">
        <v>46050</v>
      </c>
      <c r="O601" s="67" t="inlineStr">
        <is>
          <t>Inicial reclamatória</t>
        </is>
      </c>
    </row>
    <row r="602">
      <c r="A602" s="40" t="n"/>
      <c r="B602" s="40" t="inlineStr">
        <is>
          <t>Outras</t>
        </is>
      </c>
      <c r="D602" s="67" t="inlineStr">
        <is>
          <t>Pedro Victor</t>
        </is>
      </c>
      <c r="E602" s="62" t="n">
        <v>46038</v>
      </c>
      <c r="I602" s="67" t="inlineStr"/>
      <c r="J602" s="67" t="inlineStr">
        <is>
          <t>Tarefa</t>
        </is>
      </c>
      <c r="K602" s="62" t="n">
        <v>46050</v>
      </c>
      <c r="L602" s="67" t="inlineStr">
        <is>
          <t>Julia</t>
        </is>
      </c>
      <c r="M602" s="40" t="inlineStr">
        <is>
          <t>Cumprido</t>
        </is>
      </c>
      <c r="N602" s="62" t="n">
        <v>46050</v>
      </c>
      <c r="O602" s="67" t="inlineStr">
        <is>
          <t>LEMBRAR O IRMAO DA RE DA DATA DA PERICIA 29/01/2026 AS 10:30</t>
        </is>
      </c>
    </row>
    <row r="603">
      <c r="A603" s="40" t="n"/>
      <c r="B603" s="40" t="inlineStr">
        <is>
          <t>Outras</t>
        </is>
      </c>
      <c r="D603" s="67" t="inlineStr">
        <is>
          <t>Renata Francisco Becker</t>
        </is>
      </c>
      <c r="E603" s="62" t="n">
        <v>45916</v>
      </c>
      <c r="I603" s="67" t="inlineStr">
        <is>
          <t>5025579-82.2025.8.24.0020</t>
        </is>
      </c>
      <c r="J603" s="67" t="inlineStr">
        <is>
          <t>Tarefa</t>
        </is>
      </c>
      <c r="K603" s="62" t="n">
        <v>46050</v>
      </c>
      <c r="L603" s="67" t="inlineStr">
        <is>
          <t xml:space="preserve">Lucas </t>
        </is>
      </c>
      <c r="M603" s="40" t="inlineStr">
        <is>
          <t>Cumprido</t>
        </is>
      </c>
      <c r="N603" s="62" t="n">
        <v>46050</v>
      </c>
      <c r="O603" s="67" t="inlineStr">
        <is>
          <t>Protocolo</t>
        </is>
      </c>
    </row>
    <row r="604">
      <c r="A604" s="40" t="n"/>
      <c r="B604" s="40" t="inlineStr">
        <is>
          <t>Outras</t>
        </is>
      </c>
      <c r="D604" s="67" t="inlineStr">
        <is>
          <t>Renata Francisco Becker</t>
        </is>
      </c>
      <c r="E604" s="62" t="n">
        <v>45708</v>
      </c>
      <c r="I604" s="67" t="inlineStr">
        <is>
          <t>00015545420255120027</t>
        </is>
      </c>
      <c r="J604" s="67" t="inlineStr">
        <is>
          <t>Tarefa</t>
        </is>
      </c>
      <c r="K604" s="62" t="n">
        <v>46050</v>
      </c>
      <c r="L604" s="67" t="inlineStr">
        <is>
          <t>Luci</t>
        </is>
      </c>
      <c r="M604" s="40" t="inlineStr">
        <is>
          <t>Cumprido</t>
        </is>
      </c>
      <c r="N604" s="62" t="n">
        <v>46050</v>
      </c>
      <c r="O604" s="67" t="inlineStr">
        <is>
          <t>Protocolo</t>
        </is>
      </c>
    </row>
    <row r="605">
      <c r="A605" s="40" t="n"/>
      <c r="B605" s="40" t="inlineStr">
        <is>
          <t>Outras</t>
        </is>
      </c>
      <c r="D605" s="67" t="inlineStr">
        <is>
          <t>Renata Francisco Becker</t>
        </is>
      </c>
      <c r="E605" s="62" t="n">
        <v>45952</v>
      </c>
      <c r="I605" s="67" t="inlineStr"/>
      <c r="J605" s="67" t="inlineStr">
        <is>
          <t>Tarefa</t>
        </is>
      </c>
      <c r="K605" s="62" t="n">
        <v>46050</v>
      </c>
      <c r="L605" s="67" t="inlineStr">
        <is>
          <t>Pedro Victor</t>
        </is>
      </c>
      <c r="M605" s="40" t="inlineStr">
        <is>
          <t>Cumprido</t>
        </is>
      </c>
      <c r="N605" s="62" t="n">
        <v>46050</v>
      </c>
      <c r="O605" s="67" t="inlineStr">
        <is>
          <t>ENVIAR ORÇAMENTO</t>
        </is>
      </c>
    </row>
    <row r="606">
      <c r="A606" s="40" t="n"/>
      <c r="B606" s="40" t="inlineStr">
        <is>
          <t>Outras</t>
        </is>
      </c>
      <c r="D606" s="67" t="inlineStr">
        <is>
          <t>Renata Francisco Becker</t>
        </is>
      </c>
      <c r="E606" s="62" t="n">
        <v>45811</v>
      </c>
      <c r="I606" s="67" t="inlineStr">
        <is>
          <t>0000149-93.2025.5.12.0055</t>
        </is>
      </c>
      <c r="J606" s="67" t="inlineStr">
        <is>
          <t>Tarefa</t>
        </is>
      </c>
      <c r="K606" s="62" t="n">
        <v>46050</v>
      </c>
      <c r="L606" s="67" t="inlineStr">
        <is>
          <t>Luci</t>
        </is>
      </c>
      <c r="M606" s="40" t="inlineStr">
        <is>
          <t>Cumprido</t>
        </is>
      </c>
      <c r="N606" s="62" t="n">
        <v>46050</v>
      </c>
      <c r="O606" s="67" t="inlineStr">
        <is>
          <t>Revisão</t>
        </is>
      </c>
    </row>
    <row r="607">
      <c r="A607" s="40" t="inlineStr">
        <is>
          <t>50137861520248240075</t>
        </is>
      </c>
      <c r="B607" s="40" t="inlineStr">
        <is>
          <t>Outras</t>
        </is>
      </c>
      <c r="D607" s="67" t="inlineStr">
        <is>
          <t>Luci</t>
        </is>
      </c>
      <c r="E607" s="62" t="n">
        <v>45699</v>
      </c>
      <c r="F607" s="67" t="inlineStr">
        <is>
          <t>Juízo da 2ª Vara Criminal da Comarca de Tubarão</t>
        </is>
      </c>
      <c r="I607" s="67" t="inlineStr">
        <is>
          <t>5025579-82.2025.8.24.0020</t>
        </is>
      </c>
      <c r="J607" s="67" t="inlineStr">
        <is>
          <t>Tarefa</t>
        </is>
      </c>
      <c r="K607" s="62" t="n">
        <v>46050</v>
      </c>
      <c r="L607" s="67" t="inlineStr">
        <is>
          <t>Renata Francisco Becker</t>
        </is>
      </c>
      <c r="M607" s="40" t="inlineStr">
        <is>
          <t>Cumprido</t>
        </is>
      </c>
      <c r="N607" s="62" t="n">
        <v>46050</v>
      </c>
      <c r="O607" s="67" t="inlineStr">
        <is>
          <t>Revisão</t>
        </is>
      </c>
    </row>
    <row r="608">
      <c r="A608" s="40" t="inlineStr">
        <is>
          <t>5000777-25.2022.8.24.0020</t>
        </is>
      </c>
      <c r="B608" s="40" t="inlineStr">
        <is>
          <t>Outras</t>
        </is>
      </c>
      <c r="D608" s="67" t="inlineStr">
        <is>
          <t>Renata Francisco Becker</t>
        </is>
      </c>
      <c r="E608" s="62" t="n">
        <v>44701</v>
      </c>
      <c r="F608" s="67" t="inlineStr">
        <is>
          <t>Juizo Da 2ª Vara Civel Da Comarca De Criciuma</t>
        </is>
      </c>
      <c r="I608" s="67" t="inlineStr">
        <is>
          <t>0000149-93.2025.5.12.0055</t>
        </is>
      </c>
      <c r="J608" s="67" t="inlineStr">
        <is>
          <t>Tarefa</t>
        </is>
      </c>
      <c r="K608" s="62" t="n">
        <v>46050</v>
      </c>
      <c r="L608" s="67" t="inlineStr">
        <is>
          <t>Renata Francisco Becker</t>
        </is>
      </c>
      <c r="M608" s="40" t="inlineStr">
        <is>
          <t>Cumprido</t>
        </is>
      </c>
      <c r="N608" s="62" t="n">
        <v>46050</v>
      </c>
      <c r="O608" s="67" t="inlineStr">
        <is>
          <t>Revisão</t>
        </is>
      </c>
    </row>
    <row r="609">
      <c r="A609" s="40" t="inlineStr">
        <is>
          <t>5005905-38.2018.4.04.7204</t>
        </is>
      </c>
      <c r="B609" s="40" t="inlineStr">
        <is>
          <t>Outras</t>
        </is>
      </c>
      <c r="D609" s="67" t="inlineStr">
        <is>
          <t>Renata Francisco Becker</t>
        </is>
      </c>
      <c r="E609" s="62" t="n">
        <v>44749</v>
      </c>
      <c r="F609" s="67" t="inlineStr">
        <is>
          <t>Juízo Substituto da 4ª VF de Criciúma</t>
        </is>
      </c>
      <c r="I609" s="67" t="inlineStr"/>
      <c r="J609" s="67" t="inlineStr">
        <is>
          <t>Tarefa</t>
        </is>
      </c>
      <c r="K609" s="62" t="n">
        <v>46050</v>
      </c>
      <c r="L609" s="67" t="inlineStr">
        <is>
          <t>Jessica</t>
        </is>
      </c>
      <c r="M609" s="40" t="inlineStr">
        <is>
          <t>Cumprido</t>
        </is>
      </c>
      <c r="N609" s="62" t="n">
        <v>46050</v>
      </c>
      <c r="O609" s="67" t="inlineStr">
        <is>
          <t xml:space="preserve">28/01/2026 - Emitir guia Sidnei Portal regularize </t>
        </is>
      </c>
    </row>
    <row r="610">
      <c r="A610" s="40" t="n"/>
      <c r="B610" s="40" t="inlineStr">
        <is>
          <t>Outras</t>
        </is>
      </c>
      <c r="D610" s="67" t="inlineStr">
        <is>
          <t>Marelize Controladoria</t>
        </is>
      </c>
      <c r="E610" s="62" t="n">
        <v>46034</v>
      </c>
      <c r="I610" s="67" t="inlineStr">
        <is>
          <t>5005745-93.2025.8.24.0020</t>
        </is>
      </c>
      <c r="J610" s="67" t="inlineStr">
        <is>
          <t>Tarefa</t>
        </is>
      </c>
      <c r="K610" s="62" t="n">
        <v>46050</v>
      </c>
      <c r="L610" s="67" t="inlineStr">
        <is>
          <t>Marelize Controladoria</t>
        </is>
      </c>
      <c r="M610" s="40" t="inlineStr">
        <is>
          <t>Cumprido</t>
        </is>
      </c>
      <c r="N610" s="62" t="n">
        <v>46050</v>
      </c>
      <c r="O610" s="67" t="inlineStr">
        <is>
          <t>Alexia verificar se vamos embargar algum tópico da sentença.</t>
        </is>
      </c>
    </row>
    <row r="611">
      <c r="A611" s="40" t="n"/>
      <c r="B611" s="40" t="inlineStr">
        <is>
          <t>Outras</t>
        </is>
      </c>
      <c r="D611" s="67" t="inlineStr">
        <is>
          <t>Marelize Controladoria</t>
        </is>
      </c>
      <c r="E611" s="62" t="n">
        <v>46031</v>
      </c>
      <c r="I611" s="67" t="inlineStr"/>
      <c r="J611" s="67" t="inlineStr">
        <is>
          <t>Tarefa</t>
        </is>
      </c>
      <c r="K611" s="62" t="n">
        <v>46050</v>
      </c>
      <c r="L611" s="67" t="inlineStr">
        <is>
          <t>Marelize Controladoria</t>
        </is>
      </c>
      <c r="M611" s="40" t="inlineStr">
        <is>
          <t>Cumprido</t>
        </is>
      </c>
      <c r="N611" s="62" t="n">
        <v>46050</v>
      </c>
      <c r="O611" s="67" t="inlineStr">
        <is>
          <t>Conferir prazos no TJs
- TJSC
- TJRS
- TRT12
- TRF4
- JFSC
- TJRJ
- TJPR
- TJPA
- TJSP</t>
        </is>
      </c>
    </row>
    <row r="612">
      <c r="A612" s="40" t="n"/>
      <c r="B612" s="40" t="inlineStr">
        <is>
          <t>Outras</t>
        </is>
      </c>
      <c r="D612" s="67" t="inlineStr">
        <is>
          <t>Marelize Controladoria</t>
        </is>
      </c>
      <c r="E612" s="62" t="n">
        <v>46036</v>
      </c>
      <c r="I612" s="67" t="inlineStr">
        <is>
          <t>50736220720238240930</t>
        </is>
      </c>
      <c r="J612" s="67" t="inlineStr">
        <is>
          <t>Tarefa</t>
        </is>
      </c>
      <c r="K612" s="62" t="n">
        <v>46050</v>
      </c>
      <c r="L612" s="67" t="inlineStr">
        <is>
          <t>Renata Francisco Becker</t>
        </is>
      </c>
      <c r="M612" s="40" t="inlineStr">
        <is>
          <t>Cumprido</t>
        </is>
      </c>
      <c r="N612" s="62" t="n">
        <v>46050</v>
      </c>
      <c r="O612" s="67" t="inlineStr">
        <is>
          <t>Elaboração</t>
        </is>
      </c>
    </row>
    <row r="613">
      <c r="A613" s="40" t="n"/>
      <c r="B613" s="40" t="inlineStr">
        <is>
          <t>Outras</t>
        </is>
      </c>
      <c r="D613" s="67" t="inlineStr">
        <is>
          <t>Marelize Controladoria</t>
        </is>
      </c>
      <c r="E613" s="62" t="n">
        <v>46035</v>
      </c>
      <c r="I613" s="67" t="inlineStr">
        <is>
          <t>0000148-36.2026.5.12.0003</t>
        </is>
      </c>
      <c r="J613" s="67" t="inlineStr">
        <is>
          <t>Tarefa</t>
        </is>
      </c>
      <c r="K613" s="62" t="n">
        <v>46050</v>
      </c>
      <c r="L613" s="67" t="inlineStr">
        <is>
          <t>Luci</t>
        </is>
      </c>
      <c r="M613" s="40" t="inlineStr">
        <is>
          <t>Cumprido</t>
        </is>
      </c>
      <c r="N613" s="62" t="n">
        <v>46050</v>
      </c>
      <c r="O613" s="67" t="inlineStr">
        <is>
          <t>Elaboração</t>
        </is>
      </c>
    </row>
    <row r="614">
      <c r="A614" s="40" t="n"/>
      <c r="B614" s="40" t="inlineStr">
        <is>
          <t>Outras</t>
        </is>
      </c>
      <c r="D614" s="67" t="inlineStr">
        <is>
          <t>Marelize Controladoria</t>
        </is>
      </c>
      <c r="E614" s="62" t="n">
        <v>46035</v>
      </c>
      <c r="I614" s="67" t="inlineStr">
        <is>
          <t>5004339-47.2024.8.24.0028</t>
        </is>
      </c>
      <c r="J614" s="67" t="inlineStr">
        <is>
          <t>Tarefa</t>
        </is>
      </c>
      <c r="K614" s="62" t="n">
        <v>46050</v>
      </c>
      <c r="L614" s="67" t="inlineStr">
        <is>
          <t>Jessica</t>
        </is>
      </c>
      <c r="M614" s="40" t="inlineStr">
        <is>
          <t>Cumprido</t>
        </is>
      </c>
      <c r="N614" s="62" t="n">
        <v>46050</v>
      </c>
      <c r="O614" s="67" t="inlineStr">
        <is>
          <t>Elaboração</t>
        </is>
      </c>
    </row>
    <row r="615">
      <c r="A615" s="40" t="n"/>
      <c r="B615" s="40" t="inlineStr">
        <is>
          <t>Outras</t>
        </is>
      </c>
      <c r="D615" s="67" t="inlineStr">
        <is>
          <t>Marelize Controladoria</t>
        </is>
      </c>
      <c r="E615" s="62" t="n">
        <v>46030</v>
      </c>
      <c r="I615" s="67" t="inlineStr">
        <is>
          <t>51288000420248240930</t>
        </is>
      </c>
      <c r="J615" s="67" t="inlineStr">
        <is>
          <t>Tarefa</t>
        </is>
      </c>
      <c r="K615" s="62" t="n">
        <v>46050</v>
      </c>
      <c r="L615" s="67" t="inlineStr">
        <is>
          <t>Renata Francisco Becker</t>
        </is>
      </c>
      <c r="M615" s="40" t="inlineStr">
        <is>
          <t>Cumprido</t>
        </is>
      </c>
      <c r="N615" s="62" t="n">
        <v>46050</v>
      </c>
      <c r="O615" s="67" t="inlineStr">
        <is>
          <t>Elaboração</t>
        </is>
      </c>
    </row>
    <row r="616">
      <c r="A616" s="40" t="n"/>
      <c r="B616" s="40" t="inlineStr">
        <is>
          <t>Outras</t>
        </is>
      </c>
      <c r="D616" s="67" t="inlineStr">
        <is>
          <t>Renata Francisco Becker</t>
        </is>
      </c>
      <c r="E616" s="62" t="n">
        <v>45902</v>
      </c>
      <c r="I616" s="67" t="inlineStr"/>
      <c r="J616" s="67" t="inlineStr">
        <is>
          <t>Tarefa</t>
        </is>
      </c>
      <c r="K616" s="62" t="n">
        <v>46050</v>
      </c>
      <c r="L616" s="67" t="inlineStr">
        <is>
          <t>Marelize Controladoria</t>
        </is>
      </c>
      <c r="M616" s="40" t="inlineStr">
        <is>
          <t>Cumprido</t>
        </is>
      </c>
      <c r="N616" s="62" t="n">
        <v>46050</v>
      </c>
      <c r="O616" s="67" t="inlineStr">
        <is>
          <t>Fazer agendas</t>
        </is>
      </c>
    </row>
    <row r="617">
      <c r="A617" s="40" t="n"/>
      <c r="B617" s="40" t="inlineStr">
        <is>
          <t>Outras</t>
        </is>
      </c>
      <c r="D617" s="67" t="inlineStr">
        <is>
          <t>Marelize Controladoria</t>
        </is>
      </c>
      <c r="E617" s="62" t="n">
        <v>46035</v>
      </c>
      <c r="I617" s="67" t="inlineStr"/>
      <c r="J617" s="67" t="inlineStr">
        <is>
          <t>Tarefa</t>
        </is>
      </c>
      <c r="K617" s="62" t="n">
        <v>46050</v>
      </c>
      <c r="L617" s="67" t="inlineStr">
        <is>
          <t>Marelize Controladoria</t>
        </is>
      </c>
      <c r="M617" s="40" t="inlineStr">
        <is>
          <t>Cumprido</t>
        </is>
      </c>
      <c r="N617" s="62" t="n">
        <v>46050</v>
      </c>
      <c r="O617" s="67" t="inlineStr">
        <is>
          <t>Fazer publicações</t>
        </is>
      </c>
    </row>
    <row r="618">
      <c r="A618" s="40" t="n"/>
      <c r="B618" s="40" t="inlineStr">
        <is>
          <t>Outras</t>
        </is>
      </c>
      <c r="D618" s="67" t="inlineStr">
        <is>
          <t>Marelize Controladoria</t>
        </is>
      </c>
      <c r="E618" s="62" t="n">
        <v>46027</v>
      </c>
      <c r="I618" s="67" t="inlineStr"/>
      <c r="J618" s="67" t="inlineStr">
        <is>
          <t>Tarefa</t>
        </is>
      </c>
      <c r="K618" s="62" t="n">
        <v>46050</v>
      </c>
      <c r="L618" s="67" t="inlineStr">
        <is>
          <t>Marelize Controladoria</t>
        </is>
      </c>
      <c r="M618" s="40" t="inlineStr">
        <is>
          <t>Cumprido</t>
        </is>
      </c>
      <c r="N618" s="62" t="n">
        <v>46050</v>
      </c>
      <c r="O618" s="67" t="inlineStr">
        <is>
          <t>Olhar e-mails</t>
        </is>
      </c>
    </row>
    <row r="619">
      <c r="A619" s="40" t="n"/>
      <c r="B619" s="40" t="inlineStr">
        <is>
          <t>Outras</t>
        </is>
      </c>
      <c r="D619" s="67" t="inlineStr">
        <is>
          <t>Marelize Controladoria</t>
        </is>
      </c>
      <c r="E619" s="62" t="n">
        <v>46034</v>
      </c>
      <c r="I619" s="67" t="inlineStr"/>
      <c r="J619" s="67" t="inlineStr">
        <is>
          <t>Tarefa</t>
        </is>
      </c>
      <c r="K619" s="62" t="n">
        <v>46050</v>
      </c>
      <c r="L619" s="67" t="inlineStr">
        <is>
          <t>Pedro Victor</t>
        </is>
      </c>
      <c r="M619" s="40" t="inlineStr">
        <is>
          <t>Cumprido</t>
        </is>
      </c>
      <c r="N619" s="62" t="n">
        <v>46050</v>
      </c>
      <c r="O619" s="67" t="inlineStr">
        <is>
          <t>Pedro negociar com a Alessandra sobre a transação e honorários</t>
        </is>
      </c>
    </row>
    <row r="620">
      <c r="A620" s="40" t="n"/>
      <c r="B620" s="40" t="inlineStr">
        <is>
          <t>Outras</t>
        </is>
      </c>
      <c r="D620" s="67" t="inlineStr">
        <is>
          <t>Marelize Controladoria</t>
        </is>
      </c>
      <c r="E620" s="62" t="n">
        <v>46031</v>
      </c>
      <c r="I620" s="67" t="inlineStr">
        <is>
          <t>0000851-39.2025.5.12.0055</t>
        </is>
      </c>
      <c r="J620" s="67" t="inlineStr">
        <is>
          <t>Tarefa</t>
        </is>
      </c>
      <c r="K620" s="62" t="n">
        <v>46050</v>
      </c>
      <c r="L620" s="67" t="inlineStr">
        <is>
          <t>Pedro Victor</t>
        </is>
      </c>
      <c r="M620" s="40" t="inlineStr">
        <is>
          <t>Cumprido</t>
        </is>
      </c>
      <c r="N620" s="62" t="n">
        <v>46050</v>
      </c>
      <c r="O620" s="67" t="inlineStr">
        <is>
          <t>Preparar cliente para audiencia.</t>
        </is>
      </c>
    </row>
    <row r="621">
      <c r="A621" s="40" t="n"/>
      <c r="B621" s="40" t="inlineStr">
        <is>
          <t>Outras</t>
        </is>
      </c>
      <c r="D621" s="67" t="inlineStr">
        <is>
          <t>Renata Francisco Becker</t>
        </is>
      </c>
      <c r="E621" s="62" t="n">
        <v>45743</v>
      </c>
      <c r="I621" s="67" t="inlineStr">
        <is>
          <t>5004339-47.2024.8.24.0028</t>
        </is>
      </c>
      <c r="J621" s="67" t="inlineStr">
        <is>
          <t>Tarefa</t>
        </is>
      </c>
      <c r="K621" s="62" t="n">
        <v>46050</v>
      </c>
      <c r="L621" s="67" t="inlineStr">
        <is>
          <t>Julia</t>
        </is>
      </c>
      <c r="M621" s="40" t="inlineStr">
        <is>
          <t>Cumprido</t>
        </is>
      </c>
      <c r="N621" s="62" t="n">
        <v>46050</v>
      </c>
      <c r="O621" s="67" t="inlineStr">
        <is>
          <t>Revisão</t>
        </is>
      </c>
    </row>
    <row r="622">
      <c r="A622" s="40" t="inlineStr">
        <is>
          <t>5001082-77.2025.8.24.0028</t>
        </is>
      </c>
      <c r="B622" s="40" t="inlineStr">
        <is>
          <t>Outras</t>
        </is>
      </c>
      <c r="D622" s="67" t="inlineStr">
        <is>
          <t>Renata Francisco Becker</t>
        </is>
      </c>
      <c r="E622" s="62" t="n">
        <v>45754</v>
      </c>
      <c r="F622" s="67" t="inlineStr"/>
      <c r="I622" s="67" t="inlineStr"/>
      <c r="J622" s="67" t="inlineStr">
        <is>
          <t>Tarefa</t>
        </is>
      </c>
      <c r="K622" s="62" t="n">
        <v>46050</v>
      </c>
      <c r="L622" s="67" t="inlineStr">
        <is>
          <t>Renata Francisco Becker</t>
        </is>
      </c>
      <c r="M622" s="40" t="inlineStr">
        <is>
          <t>Cumprido</t>
        </is>
      </c>
      <c r="N622" s="62" t="n">
        <v>46050</v>
      </c>
      <c r="O622" s="67" t="inlineStr">
        <is>
          <t xml:space="preserve">Revisão </t>
        </is>
      </c>
    </row>
    <row r="623">
      <c r="A623" s="40" t="inlineStr">
        <is>
          <t>50083355320248240028</t>
        </is>
      </c>
      <c r="B623" s="40" t="inlineStr">
        <is>
          <t>Outras</t>
        </is>
      </c>
      <c r="D623" s="67" t="inlineStr">
        <is>
          <t>Renata Francisco Becker</t>
        </is>
      </c>
      <c r="E623" s="62" t="n">
        <v>45748</v>
      </c>
      <c r="F623" s="67" t="inlineStr">
        <is>
          <t>2° vara civel</t>
        </is>
      </c>
      <c r="I623" s="67" t="inlineStr">
        <is>
          <t>5069978-85.2025.8.24.0930</t>
        </is>
      </c>
      <c r="J623" s="67" t="inlineStr">
        <is>
          <t>Tarefa</t>
        </is>
      </c>
      <c r="K623" s="62" t="n">
        <v>46050</v>
      </c>
      <c r="L623" s="67" t="inlineStr">
        <is>
          <t>Jessica</t>
        </is>
      </c>
      <c r="M623" s="40" t="inlineStr">
        <is>
          <t>Cumprido</t>
        </is>
      </c>
      <c r="N623" s="62" t="n">
        <v>46050</v>
      </c>
      <c r="O623" s="67" t="inlineStr">
        <is>
          <t>Revisão</t>
        </is>
      </c>
    </row>
    <row r="624">
      <c r="A624" s="40" t="inlineStr">
        <is>
          <t>5004094-23.2023.8.24.0076</t>
        </is>
      </c>
      <c r="B624" s="40" t="inlineStr">
        <is>
          <t>Outras</t>
        </is>
      </c>
      <c r="D624" s="67" t="inlineStr">
        <is>
          <t>Renata Francisco Becker</t>
        </is>
      </c>
      <c r="E624" s="62" t="n">
        <v>45922</v>
      </c>
      <c r="F624" s="67" t="inlineStr">
        <is>
          <t>Vara Única</t>
        </is>
      </c>
      <c r="I624" s="67" t="inlineStr">
        <is>
          <t>5005212-03.2026.8.24.0020</t>
        </is>
      </c>
      <c r="J624" s="67" t="inlineStr">
        <is>
          <t>Tarefa</t>
        </is>
      </c>
      <c r="K624" s="62" t="n">
        <v>46050</v>
      </c>
      <c r="L624" s="67" t="inlineStr">
        <is>
          <t>Renata Francisco Becker</t>
        </is>
      </c>
      <c r="M624" s="40" t="inlineStr">
        <is>
          <t>Cumprido</t>
        </is>
      </c>
      <c r="N624" s="62" t="n">
        <v>46050</v>
      </c>
      <c r="O624" s="67" t="inlineStr">
        <is>
          <t>Revisão</t>
        </is>
      </c>
    </row>
    <row r="625">
      <c r="A625" s="40" t="inlineStr">
        <is>
          <t>5110429-55.2025.8.24.0930</t>
        </is>
      </c>
      <c r="B625" s="40" t="inlineStr">
        <is>
          <t>Outras</t>
        </is>
      </c>
      <c r="D625" s="67" t="inlineStr">
        <is>
          <t>Renata Francisco Becker</t>
        </is>
      </c>
      <c r="E625" s="62" t="n">
        <v>45966</v>
      </c>
      <c r="F625" s="67" t="inlineStr">
        <is>
          <t>Vara Estadual de Direito Bancário</t>
        </is>
      </c>
      <c r="I625" s="67" t="inlineStr"/>
      <c r="J625" s="67" t="inlineStr">
        <is>
          <t>Tarefa</t>
        </is>
      </c>
      <c r="K625" s="62" t="n">
        <v>46050</v>
      </c>
      <c r="L625" s="67" t="inlineStr">
        <is>
          <t>Julia</t>
        </is>
      </c>
      <c r="M625" s="40" t="inlineStr">
        <is>
          <t>Cumprido</t>
        </is>
      </c>
      <c r="N625" s="62" t="n">
        <v>46050</v>
      </c>
      <c r="O625" s="67" t="inlineStr">
        <is>
          <t>Revisão</t>
        </is>
      </c>
    </row>
    <row r="626">
      <c r="A626" s="40" t="inlineStr">
        <is>
          <t>5005475-79.2024.8.24.0028</t>
        </is>
      </c>
      <c r="B626" s="40" t="inlineStr">
        <is>
          <t>Outras</t>
        </is>
      </c>
      <c r="D626" s="67" t="inlineStr">
        <is>
          <t>Renata Francisco Becker</t>
        </is>
      </c>
      <c r="E626" s="62" t="n">
        <v>45595</v>
      </c>
      <c r="F626" s="67" t="inlineStr"/>
      <c r="I626" s="67" t="inlineStr">
        <is>
          <t>5069978-85.2025.8.24.0930</t>
        </is>
      </c>
      <c r="J626" s="67" t="inlineStr">
        <is>
          <t>Tarefa</t>
        </is>
      </c>
      <c r="K626" s="62" t="n">
        <v>46050</v>
      </c>
      <c r="L626" s="67" t="inlineStr">
        <is>
          <t>Renata Francisco Becker</t>
        </is>
      </c>
      <c r="M626" s="40" t="inlineStr">
        <is>
          <t>Cumprido</t>
        </is>
      </c>
      <c r="N626" s="62" t="n">
        <v>46050</v>
      </c>
      <c r="O626" s="67" t="inlineStr">
        <is>
          <t>Revisão</t>
        </is>
      </c>
    </row>
    <row r="627">
      <c r="A627" s="40" t="inlineStr">
        <is>
          <t>5006709-33.2023.8.24.0028</t>
        </is>
      </c>
      <c r="B627" s="40" t="inlineStr">
        <is>
          <t>Outras</t>
        </is>
      </c>
      <c r="D627" s="67" t="inlineStr">
        <is>
          <t>Renata Francisco Becker</t>
        </is>
      </c>
      <c r="E627" s="62" t="n">
        <v>45579</v>
      </c>
      <c r="F627" s="67" t="inlineStr"/>
      <c r="I627" s="67" t="inlineStr"/>
      <c r="J627" s="67" t="inlineStr">
        <is>
          <t>Evento</t>
        </is>
      </c>
      <c r="K627" s="62" t="n">
        <v>46050</v>
      </c>
      <c r="L627" s="67" t="inlineStr">
        <is>
          <t>Jessica</t>
        </is>
      </c>
      <c r="M627" s="40" t="inlineStr">
        <is>
          <t>Cumprido</t>
        </is>
      </c>
      <c r="N627" s="62" t="n">
        <v>46050</v>
      </c>
      <c r="O627" s="67" t="inlineStr">
        <is>
          <t>Atendimento Marcos MMC</t>
        </is>
      </c>
    </row>
    <row r="628">
      <c r="A628" s="40" t="inlineStr">
        <is>
          <t>5008146-31.2024.8.24.0075</t>
        </is>
      </c>
      <c r="B628" s="40" t="inlineStr">
        <is>
          <t>Outras</t>
        </is>
      </c>
      <c r="D628" s="67" t="inlineStr">
        <is>
          <t>Renata Francisco Becker</t>
        </is>
      </c>
      <c r="E628" s="62" t="n">
        <v>45964</v>
      </c>
      <c r="F628" s="67" t="inlineStr"/>
      <c r="I628" s="67" t="inlineStr"/>
      <c r="J628" s="67" t="inlineStr">
        <is>
          <t>Evento</t>
        </is>
      </c>
      <c r="K628" s="62" t="n">
        <v>46050</v>
      </c>
      <c r="L628" s="67" t="inlineStr">
        <is>
          <t>Renata Francisco Becker</t>
        </is>
      </c>
      <c r="M628" s="40" t="inlineStr">
        <is>
          <t>Cumprido</t>
        </is>
      </c>
      <c r="N628" s="62" t="n">
        <v>46050</v>
      </c>
      <c r="O628" s="67" t="inlineStr">
        <is>
          <t>Atendimento Julia (nora Zenaide)</t>
        </is>
      </c>
    </row>
    <row r="629">
      <c r="A629" s="40" t="n"/>
      <c r="B629" s="40" t="inlineStr">
        <is>
          <t>Outras</t>
        </is>
      </c>
      <c r="D629" s="67" t="inlineStr">
        <is>
          <t>Jessica</t>
        </is>
      </c>
      <c r="E629" s="62" t="n">
        <v>46008</v>
      </c>
      <c r="I629" s="67" t="inlineStr"/>
      <c r="J629" s="67" t="inlineStr">
        <is>
          <t>Prazo</t>
        </is>
      </c>
      <c r="K629" s="62" t="n">
        <v>46051</v>
      </c>
      <c r="L629" s="67" t="inlineStr">
        <is>
          <t xml:space="preserve">Lucas </t>
        </is>
      </c>
      <c r="M629" s="40" t="inlineStr">
        <is>
          <t>Cumprido</t>
        </is>
      </c>
      <c r="N629" s="62" t="n">
        <v>46051</v>
      </c>
      <c r="O629" s="67" t="inlineStr">
        <is>
          <t>AÇÕES PERDONÁ</t>
        </is>
      </c>
    </row>
    <row r="630">
      <c r="A630" s="40" t="n"/>
      <c r="B630" s="40" t="inlineStr">
        <is>
          <t>Outras</t>
        </is>
      </c>
      <c r="D630" s="67" t="inlineStr">
        <is>
          <t>Marelize Controladoria</t>
        </is>
      </c>
      <c r="E630" s="62" t="n">
        <v>46031</v>
      </c>
      <c r="I630" s="67" t="inlineStr">
        <is>
          <t>0001590-96.2025.5.12.0027</t>
        </is>
      </c>
      <c r="J630" s="67" t="inlineStr">
        <is>
          <t>Prazo</t>
        </is>
      </c>
      <c r="K630" s="62" t="n">
        <v>46051</v>
      </c>
      <c r="L630" s="67" t="inlineStr">
        <is>
          <t>Luci</t>
        </is>
      </c>
      <c r="M630" s="40" t="inlineStr">
        <is>
          <t>Cumprido</t>
        </is>
      </c>
      <c r="N630" s="62" t="n">
        <v>46051</v>
      </c>
      <c r="O630" s="67" t="inlineStr">
        <is>
          <t xml:space="preserve">Juntar sentença do processo 0001650-69.2025.5.12.0027 apenso neste, para justificar o a revelia quanto as verbasrecisórias do pedido de demissão, ratificar a tese do pedido de demissão pela confissão </t>
        </is>
      </c>
    </row>
    <row r="631">
      <c r="A631" s="40" t="n"/>
      <c r="B631" s="40" t="inlineStr">
        <is>
          <t>Outras</t>
        </is>
      </c>
      <c r="D631" s="67" t="inlineStr">
        <is>
          <t>Jessica</t>
        </is>
      </c>
      <c r="E631" s="62" t="n">
        <v>46031</v>
      </c>
      <c r="I631" s="67" t="inlineStr">
        <is>
          <t>5000453-56.2025.8.24.0076</t>
        </is>
      </c>
      <c r="J631" s="67" t="inlineStr">
        <is>
          <t>Prazo</t>
        </is>
      </c>
      <c r="K631" s="62" t="n">
        <v>46051</v>
      </c>
      <c r="L631" s="67" t="inlineStr">
        <is>
          <t>Jessica</t>
        </is>
      </c>
      <c r="M631" s="40" t="inlineStr">
        <is>
          <t>Cumprido</t>
        </is>
      </c>
      <c r="N631" s="62" t="n">
        <v>46051</v>
      </c>
      <c r="O631" s="67" t="inlineStr">
        <is>
          <t xml:space="preserve">Prazo </t>
        </is>
      </c>
    </row>
    <row r="632">
      <c r="A632" s="40" t="n"/>
      <c r="B632" s="40" t="inlineStr">
        <is>
          <t>Outras</t>
        </is>
      </c>
      <c r="D632" s="67" t="inlineStr">
        <is>
          <t>Renata Francisco Becker</t>
        </is>
      </c>
      <c r="E632" s="62" t="n">
        <v>46008</v>
      </c>
      <c r="I632" s="67" t="inlineStr">
        <is>
          <t>5019657-60.2025.8.24.0020</t>
        </is>
      </c>
      <c r="J632" s="67" t="inlineStr">
        <is>
          <t>Prazo</t>
        </is>
      </c>
      <c r="K632" s="62" t="n">
        <v>46051</v>
      </c>
      <c r="L632" s="67" t="inlineStr">
        <is>
          <t>Renata Francisco Becker</t>
        </is>
      </c>
      <c r="M632" s="40" t="inlineStr">
        <is>
          <t>Cumprido</t>
        </is>
      </c>
      <c r="N632" s="62" t="n">
        <v>46051</v>
      </c>
      <c r="O632" s="67" t="inlineStr">
        <is>
          <t xml:space="preserve">Prazo </t>
        </is>
      </c>
    </row>
    <row r="633">
      <c r="A633" s="40" t="inlineStr">
        <is>
          <t>5012266-37.2019.4.04.7204</t>
        </is>
      </c>
      <c r="B633" s="40" t="inlineStr">
        <is>
          <t>Outras</t>
        </is>
      </c>
      <c r="D633" s="67" t="inlineStr">
        <is>
          <t>Renata Francisco Becker</t>
        </is>
      </c>
      <c r="E633" s="62" t="n">
        <v>44707</v>
      </c>
      <c r="F633" s="67" t="inlineStr">
        <is>
          <t>Juízo Federal da 1ª VF de Tubarão</t>
        </is>
      </c>
      <c r="I633" s="67" t="inlineStr">
        <is>
          <t>5000981-30.2026.8.24.0020</t>
        </is>
      </c>
      <c r="J633" s="67" t="inlineStr">
        <is>
          <t>Prazo</t>
        </is>
      </c>
      <c r="K633" s="62" t="n">
        <v>46051</v>
      </c>
      <c r="L633" s="67" t="inlineStr">
        <is>
          <t xml:space="preserve">Alexia </t>
        </is>
      </c>
      <c r="M633" s="40" t="inlineStr">
        <is>
          <t>Cumprido</t>
        </is>
      </c>
      <c r="N633" s="62" t="n">
        <v>46051</v>
      </c>
      <c r="O633" s="67" t="inlineStr">
        <is>
          <t>Prazo</t>
        </is>
      </c>
    </row>
    <row r="634">
      <c r="A634" s="40" t="n"/>
      <c r="B634" s="40" t="inlineStr">
        <is>
          <t>Outras</t>
        </is>
      </c>
      <c r="D634" s="67" t="inlineStr">
        <is>
          <t>Marelize Controladoria</t>
        </is>
      </c>
      <c r="E634" s="62" t="n">
        <v>46028</v>
      </c>
      <c r="I634" s="67" t="inlineStr">
        <is>
          <t>00015545420255120027</t>
        </is>
      </c>
      <c r="J634" s="67" t="inlineStr">
        <is>
          <t>Prazo</t>
        </is>
      </c>
      <c r="K634" s="62" t="n">
        <v>46051</v>
      </c>
      <c r="L634" s="67" t="inlineStr">
        <is>
          <t>Luci</t>
        </is>
      </c>
      <c r="M634" s="40" t="inlineStr">
        <is>
          <t>Cumprido</t>
        </is>
      </c>
      <c r="N634" s="62" t="n">
        <v>46051</v>
      </c>
      <c r="O634" s="67" t="inlineStr">
        <is>
          <t>Prazo</t>
        </is>
      </c>
    </row>
    <row r="635">
      <c r="A635" s="40" t="n"/>
      <c r="B635" s="40" t="inlineStr">
        <is>
          <t>Outras</t>
        </is>
      </c>
      <c r="D635" s="67" t="inlineStr">
        <is>
          <t>Renata Francisco Becker</t>
        </is>
      </c>
      <c r="E635" s="62" t="n">
        <v>45926</v>
      </c>
      <c r="I635" s="67" t="inlineStr">
        <is>
          <t>5004890-17.2025.8.21.0047</t>
        </is>
      </c>
      <c r="J635" s="67" t="inlineStr">
        <is>
          <t>Prazo</t>
        </is>
      </c>
      <c r="K635" s="62" t="n">
        <v>46051</v>
      </c>
      <c r="L635" s="67" t="inlineStr">
        <is>
          <t>Renata Francisco Becker</t>
        </is>
      </c>
      <c r="M635" s="40" t="inlineStr">
        <is>
          <t>Cumprido</t>
        </is>
      </c>
      <c r="N635" s="62" t="n">
        <v>46051</v>
      </c>
      <c r="O635" s="67" t="inlineStr">
        <is>
          <t>Prazo alvará</t>
        </is>
      </c>
    </row>
    <row r="636">
      <c r="A636" s="40" t="n"/>
      <c r="B636" s="40" t="inlineStr">
        <is>
          <t>Outras</t>
        </is>
      </c>
      <c r="D636" s="67" t="inlineStr">
        <is>
          <t>Luci</t>
        </is>
      </c>
      <c r="E636" s="62" t="n">
        <v>45741</v>
      </c>
      <c r="I636" s="67" t="inlineStr">
        <is>
          <t>5003068-76.2019.8.24.0028</t>
        </is>
      </c>
      <c r="J636" s="67" t="inlineStr">
        <is>
          <t>Prazo</t>
        </is>
      </c>
      <c r="K636" s="62" t="n">
        <v>46051</v>
      </c>
      <c r="L636" s="67" t="inlineStr">
        <is>
          <t xml:space="preserve">Alexia </t>
        </is>
      </c>
      <c r="M636" s="40" t="inlineStr">
        <is>
          <t>Cumprido</t>
        </is>
      </c>
      <c r="N636" s="62" t="n">
        <v>46051</v>
      </c>
      <c r="O636" s="67" t="inlineStr">
        <is>
          <t>Prazo AR</t>
        </is>
      </c>
    </row>
    <row r="637">
      <c r="A637" s="40" t="inlineStr">
        <is>
          <t>5038820-77.2025.4.04.0000</t>
        </is>
      </c>
      <c r="B637" s="40" t="inlineStr">
        <is>
          <t>Outras</t>
        </is>
      </c>
      <c r="D637" s="67" t="inlineStr">
        <is>
          <t>Renata Francisco Becker</t>
        </is>
      </c>
      <c r="E637" s="62" t="n">
        <v>45988</v>
      </c>
      <c r="F637" s="67" t="inlineStr"/>
      <c r="I637" s="67" t="inlineStr">
        <is>
          <t>5023319-32.2025.8.24.0020</t>
        </is>
      </c>
      <c r="J637" s="67" t="inlineStr">
        <is>
          <t>Prazo</t>
        </is>
      </c>
      <c r="K637" s="62" t="n">
        <v>46051</v>
      </c>
      <c r="L637" s="67" t="inlineStr">
        <is>
          <t>Renata Francisco Becker</t>
        </is>
      </c>
      <c r="M637" s="40" t="inlineStr">
        <is>
          <t>Cumprido</t>
        </is>
      </c>
      <c r="N637" s="62" t="n">
        <v>46051</v>
      </c>
      <c r="O637" s="67" t="inlineStr">
        <is>
          <t>Prazo AR</t>
        </is>
      </c>
    </row>
    <row r="638">
      <c r="A638" s="40" t="n"/>
      <c r="B638" s="40" t="inlineStr">
        <is>
          <t>Outras</t>
        </is>
      </c>
      <c r="D638" s="67" t="inlineStr">
        <is>
          <t>Renata Francisco Becker</t>
        </is>
      </c>
      <c r="E638" s="62" t="n">
        <v>46014</v>
      </c>
      <c r="I638" s="67" t="inlineStr">
        <is>
          <t>5007007-54.2025.8.24.0028</t>
        </is>
      </c>
      <c r="J638" s="67" t="inlineStr">
        <is>
          <t>Prazo</t>
        </is>
      </c>
      <c r="K638" s="62" t="n">
        <v>46051</v>
      </c>
      <c r="L638" s="67" t="inlineStr">
        <is>
          <t>Julia</t>
        </is>
      </c>
      <c r="M638" s="40" t="inlineStr">
        <is>
          <t>Cumprido</t>
        </is>
      </c>
      <c r="N638" s="62" t="n">
        <v>46051</v>
      </c>
      <c r="O638" s="67" t="inlineStr">
        <is>
          <t>Prazo DOC Seguro Rafael Becker</t>
        </is>
      </c>
    </row>
    <row r="639">
      <c r="A639" s="40" t="n"/>
      <c r="B639" s="40" t="inlineStr">
        <is>
          <t>Outras</t>
        </is>
      </c>
      <c r="D639" s="67" t="inlineStr">
        <is>
          <t>Renata Francisco Becker</t>
        </is>
      </c>
      <c r="E639" s="62" t="n">
        <v>45779</v>
      </c>
      <c r="I639" s="67" t="inlineStr">
        <is>
          <t>5158016-73.2025.8.24.0930</t>
        </is>
      </c>
      <c r="J639" s="67" t="inlineStr">
        <is>
          <t>Prazo</t>
        </is>
      </c>
      <c r="K639" s="62" t="n">
        <v>46051</v>
      </c>
      <c r="L639" s="67" t="inlineStr">
        <is>
          <t>Renata Francisco Becker</t>
        </is>
      </c>
      <c r="M639" s="40" t="inlineStr">
        <is>
          <t>Cumprido</t>
        </is>
      </c>
      <c r="N639" s="62" t="n">
        <v>46051</v>
      </c>
      <c r="O639" s="67" t="inlineStr">
        <is>
          <t>Prazo manif</t>
        </is>
      </c>
    </row>
    <row r="640">
      <c r="A640" s="40" t="n"/>
      <c r="B640" s="40" t="inlineStr">
        <is>
          <t>Outras</t>
        </is>
      </c>
      <c r="D640" s="67" t="inlineStr">
        <is>
          <t>Luci</t>
        </is>
      </c>
      <c r="E640" s="62" t="n">
        <v>45642</v>
      </c>
      <c r="I640" s="67" t="inlineStr">
        <is>
          <t>5081667-06.2025.8.24.0000</t>
        </is>
      </c>
      <c r="J640" s="67" t="inlineStr">
        <is>
          <t>Prazo</t>
        </is>
      </c>
      <c r="K640" s="62" t="n">
        <v>46051</v>
      </c>
      <c r="L640" s="67" t="inlineStr">
        <is>
          <t xml:space="preserve">Lucas </t>
        </is>
      </c>
      <c r="M640" s="40" t="inlineStr">
        <is>
          <t>Cumprido</t>
        </is>
      </c>
      <c r="N640" s="62" t="n">
        <v>46051</v>
      </c>
      <c r="O640" s="67" t="inlineStr">
        <is>
          <t>prazo renuncia recapadora</t>
        </is>
      </c>
    </row>
    <row r="641">
      <c r="A641" s="40" t="n"/>
      <c r="B641" s="40" t="inlineStr">
        <is>
          <t>Outras</t>
        </is>
      </c>
      <c r="D641" s="67" t="inlineStr">
        <is>
          <t>Renata Francisco Becker</t>
        </is>
      </c>
      <c r="E641" s="62" t="n">
        <v>45793</v>
      </c>
      <c r="I641" s="67" t="inlineStr">
        <is>
          <t>50042099320204047204</t>
        </is>
      </c>
      <c r="J641" s="67" t="inlineStr">
        <is>
          <t>Prazo</t>
        </is>
      </c>
      <c r="K641" s="62" t="n">
        <v>46051</v>
      </c>
      <c r="L641" s="67" t="inlineStr">
        <is>
          <t xml:space="preserve">Alexia </t>
        </is>
      </c>
      <c r="M641" s="40" t="inlineStr">
        <is>
          <t>Cumprido</t>
        </is>
      </c>
      <c r="N641" s="62" t="n">
        <v>46051</v>
      </c>
      <c r="O641" s="67" t="inlineStr">
        <is>
          <t>Prazo Sentença</t>
        </is>
      </c>
    </row>
    <row r="642">
      <c r="A642" s="40" t="inlineStr">
        <is>
          <t>0000134-48.2024.5.12.0027</t>
        </is>
      </c>
      <c r="B642" s="40" t="inlineStr">
        <is>
          <t>Outras</t>
        </is>
      </c>
      <c r="D642" s="67" t="inlineStr">
        <is>
          <t>Renata Francisco Becker</t>
        </is>
      </c>
      <c r="E642" s="62" t="n">
        <v>45392</v>
      </c>
      <c r="F642" s="67" t="inlineStr"/>
      <c r="I642" s="67" t="inlineStr">
        <is>
          <t>0001650-69.2025.5.12.0027</t>
        </is>
      </c>
      <c r="J642" s="67" t="inlineStr">
        <is>
          <t>Prazo</t>
        </is>
      </c>
      <c r="K642" s="62" t="n">
        <v>46051</v>
      </c>
      <c r="L642" s="67" t="inlineStr">
        <is>
          <t>Renata Francisco Becker</t>
        </is>
      </c>
      <c r="M642" s="40" t="inlineStr">
        <is>
          <t>Cumprido</t>
        </is>
      </c>
      <c r="N642" s="62" t="n">
        <v>46051</v>
      </c>
      <c r="O642" s="67" t="inlineStr">
        <is>
          <t>Prazo Sentença</t>
        </is>
      </c>
    </row>
    <row r="643">
      <c r="A643" s="40" t="n"/>
      <c r="B643" s="40" t="inlineStr">
        <is>
          <t>Outras</t>
        </is>
      </c>
      <c r="D643" s="67" t="inlineStr">
        <is>
          <t>Renata Francisco Becker</t>
        </is>
      </c>
      <c r="E643" s="62" t="n">
        <v>46009</v>
      </c>
      <c r="I643" s="67" t="inlineStr">
        <is>
          <t>00015545420255120027</t>
        </is>
      </c>
      <c r="J643" s="67" t="inlineStr">
        <is>
          <t>Tarefa</t>
        </is>
      </c>
      <c r="K643" s="62" t="n">
        <v>46051</v>
      </c>
      <c r="L643" s="67" t="inlineStr">
        <is>
          <t>Luci</t>
        </is>
      </c>
      <c r="M643" s="40" t="inlineStr">
        <is>
          <t>Cumprido</t>
        </is>
      </c>
      <c r="N643" s="62" t="n">
        <v>46051</v>
      </c>
      <c r="O643" s="67" t="inlineStr">
        <is>
          <t>Elaboração</t>
        </is>
      </c>
    </row>
    <row r="644">
      <c r="A644" s="40" t="inlineStr">
        <is>
          <t>0000665-16.2025.5.12.0055</t>
        </is>
      </c>
      <c r="B644" s="40" t="inlineStr">
        <is>
          <t>Outras</t>
        </is>
      </c>
      <c r="D644" s="67" t="inlineStr">
        <is>
          <t>Renata Francisco Becker</t>
        </is>
      </c>
      <c r="E644" s="62" t="n">
        <v>45876</v>
      </c>
      <c r="F644" s="67" t="inlineStr">
        <is>
          <t>Vara do Trabalho</t>
        </is>
      </c>
      <c r="I644" s="67" t="inlineStr">
        <is>
          <t>0000958-45.2025.512.0003</t>
        </is>
      </c>
      <c r="J644" s="67" t="inlineStr">
        <is>
          <t>Tarefa</t>
        </is>
      </c>
      <c r="K644" s="62" t="n">
        <v>46051</v>
      </c>
      <c r="L644" s="67" t="inlineStr">
        <is>
          <t>Luci</t>
        </is>
      </c>
      <c r="M644" s="40" t="inlineStr">
        <is>
          <t>Cumprido</t>
        </is>
      </c>
      <c r="N644" s="62" t="n">
        <v>46051</v>
      </c>
      <c r="O644" s="67" t="inlineStr">
        <is>
          <t>Elaboração</t>
        </is>
      </c>
    </row>
    <row r="645">
      <c r="A645" s="40" t="n"/>
      <c r="B645" s="40" t="inlineStr">
        <is>
          <t>Outras</t>
        </is>
      </c>
      <c r="D645" s="67" t="inlineStr">
        <is>
          <t>Pedro Victor</t>
        </is>
      </c>
      <c r="E645" s="62" t="n">
        <v>45904</v>
      </c>
      <c r="I645" s="67" t="inlineStr">
        <is>
          <t>0000149-93.2025.5.12.0055</t>
        </is>
      </c>
      <c r="J645" s="67" t="inlineStr">
        <is>
          <t>Tarefa</t>
        </is>
      </c>
      <c r="K645" s="62" t="n">
        <v>46051</v>
      </c>
      <c r="L645" s="67" t="inlineStr">
        <is>
          <t>Luci</t>
        </is>
      </c>
      <c r="M645" s="40" t="inlineStr">
        <is>
          <t>Cumprido</t>
        </is>
      </c>
      <c r="N645" s="62" t="n">
        <v>46051</v>
      </c>
      <c r="O645" s="67" t="inlineStr">
        <is>
          <t>Protocolo</t>
        </is>
      </c>
    </row>
    <row r="646">
      <c r="A646" s="40" t="inlineStr">
        <is>
          <t>5021259-86.2025.8.24.0020</t>
        </is>
      </c>
      <c r="B646" s="40" t="inlineStr">
        <is>
          <t>Outras</t>
        </is>
      </c>
      <c r="D646" s="67" t="inlineStr">
        <is>
          <t>Renata Francisco Becker</t>
        </is>
      </c>
      <c r="E646" s="62" t="n">
        <v>45891</v>
      </c>
      <c r="F646" s="67" t="inlineStr">
        <is>
          <t>4° vara civel</t>
        </is>
      </c>
      <c r="I646" s="67" t="inlineStr">
        <is>
          <t>0000958-45.2025.512.0003</t>
        </is>
      </c>
      <c r="J646" s="67" t="inlineStr">
        <is>
          <t>Tarefa</t>
        </is>
      </c>
      <c r="K646" s="62" t="n">
        <v>46051</v>
      </c>
      <c r="L646" s="67" t="inlineStr">
        <is>
          <t>Renata Francisco Becker</t>
        </is>
      </c>
      <c r="M646" s="40" t="inlineStr">
        <is>
          <t>Cumprido</t>
        </is>
      </c>
      <c r="N646" s="62" t="n">
        <v>46051</v>
      </c>
      <c r="O646" s="67" t="inlineStr">
        <is>
          <t>Revisão</t>
        </is>
      </c>
    </row>
    <row r="647">
      <c r="A647" s="40" t="n"/>
      <c r="B647" s="40" t="inlineStr">
        <is>
          <t>Outras</t>
        </is>
      </c>
      <c r="D647" s="67" t="inlineStr">
        <is>
          <t>Renata Francisco Becker</t>
        </is>
      </c>
      <c r="E647" s="62" t="n">
        <v>46003</v>
      </c>
      <c r="I647" s="67" t="inlineStr">
        <is>
          <t>0000958-45.2025.512.0003</t>
        </is>
      </c>
      <c r="J647" s="67" t="inlineStr">
        <is>
          <t>Tarefa</t>
        </is>
      </c>
      <c r="K647" s="62" t="n">
        <v>46051</v>
      </c>
      <c r="L647" s="67" t="inlineStr">
        <is>
          <t>Luci</t>
        </is>
      </c>
      <c r="M647" s="40" t="inlineStr">
        <is>
          <t>Cumprido</t>
        </is>
      </c>
      <c r="N647" s="62" t="n">
        <v>46051</v>
      </c>
      <c r="O647" s="67" t="inlineStr">
        <is>
          <t>Revisão</t>
        </is>
      </c>
    </row>
    <row r="648">
      <c r="A648" s="40" t="n"/>
      <c r="B648" s="40" t="inlineStr">
        <is>
          <t>Outras</t>
        </is>
      </c>
      <c r="D648" s="67" t="inlineStr">
        <is>
          <t>Renata Francisco Becker</t>
        </is>
      </c>
      <c r="E648" s="62" t="n">
        <v>45923</v>
      </c>
      <c r="I648" s="67" t="inlineStr">
        <is>
          <t>5011984-50.2024.8.24.0020</t>
        </is>
      </c>
      <c r="J648" s="67" t="inlineStr">
        <is>
          <t>Tarefa</t>
        </is>
      </c>
      <c r="K648" s="62" t="n">
        <v>46051</v>
      </c>
      <c r="L648" s="67" t="inlineStr">
        <is>
          <t xml:space="preserve">Alexia </t>
        </is>
      </c>
      <c r="M648" s="40" t="inlineStr">
        <is>
          <t>Cumprido</t>
        </is>
      </c>
      <c r="N648" s="62" t="n">
        <v>46051</v>
      </c>
      <c r="O648" s="67" t="inlineStr">
        <is>
          <t xml:space="preserve">Protocolo </t>
        </is>
      </c>
    </row>
    <row r="649">
      <c r="A649" s="40" t="inlineStr">
        <is>
          <t>0001031-55.2025.5.12.0055</t>
        </is>
      </c>
      <c r="B649" s="40" t="inlineStr">
        <is>
          <t>Outras</t>
        </is>
      </c>
      <c r="D649" s="67" t="inlineStr">
        <is>
          <t>Renata Francisco Becker</t>
        </is>
      </c>
      <c r="E649" s="62" t="n">
        <v>45898</v>
      </c>
      <c r="F649" s="67" t="inlineStr">
        <is>
          <t>Vara do Trabalho</t>
        </is>
      </c>
      <c r="I649" s="67" t="inlineStr">
        <is>
          <t>5010580-75.2025.8.24.0004</t>
        </is>
      </c>
      <c r="J649" s="67" t="inlineStr">
        <is>
          <t>Tarefa</t>
        </is>
      </c>
      <c r="K649" s="62" t="n">
        <v>46051</v>
      </c>
      <c r="L649" s="67" t="inlineStr">
        <is>
          <t>Renata Francisco Becker</t>
        </is>
      </c>
      <c r="M649" s="40" t="inlineStr">
        <is>
          <t>Cumprido</t>
        </is>
      </c>
      <c r="N649" s="62" t="n">
        <v>46051</v>
      </c>
      <c r="O649" s="67" t="inlineStr">
        <is>
          <t>Revisão</t>
        </is>
      </c>
    </row>
    <row r="650">
      <c r="A650" s="40" t="n"/>
      <c r="B650" s="40" t="inlineStr">
        <is>
          <t>Outras</t>
        </is>
      </c>
      <c r="D650" s="67" t="inlineStr">
        <is>
          <t>Renata Francisco Becker</t>
        </is>
      </c>
      <c r="E650" s="62" t="n">
        <v>45944</v>
      </c>
      <c r="I650" s="67" t="inlineStr">
        <is>
          <t>5010580-75.2025.8.24.0004</t>
        </is>
      </c>
      <c r="J650" s="67" t="inlineStr">
        <is>
          <t>Tarefa</t>
        </is>
      </c>
      <c r="K650" s="62" t="n">
        <v>46051</v>
      </c>
      <c r="L650" s="67" t="inlineStr">
        <is>
          <t>Renata Francisco Becker</t>
        </is>
      </c>
      <c r="M650" s="40" t="inlineStr">
        <is>
          <t>Cumprido</t>
        </is>
      </c>
      <c r="N650" s="62" t="n">
        <v>46051</v>
      </c>
      <c r="O650" s="67" t="inlineStr">
        <is>
          <t>Revisão</t>
        </is>
      </c>
    </row>
    <row r="651">
      <c r="A651" s="40" t="inlineStr">
        <is>
          <t>5023015-38.2022.8.24.0020</t>
        </is>
      </c>
      <c r="B651" s="40" t="inlineStr">
        <is>
          <t>Outras</t>
        </is>
      </c>
      <c r="D651" s="67" t="inlineStr">
        <is>
          <t>Renata Francisco Becker</t>
        </is>
      </c>
      <c r="E651" s="62" t="n">
        <v>44874</v>
      </c>
      <c r="F651" s="67" t="inlineStr">
        <is>
          <t>Juízo da 4ª Vara Cível da Comarca de Criciúma</t>
        </is>
      </c>
      <c r="I651" s="67" t="inlineStr"/>
      <c r="J651" s="67" t="inlineStr">
        <is>
          <t>Tarefa</t>
        </is>
      </c>
      <c r="K651" s="62" t="n">
        <v>46051</v>
      </c>
      <c r="L651" s="67" t="inlineStr">
        <is>
          <t xml:space="preserve">Lucas </t>
        </is>
      </c>
      <c r="M651" s="40" t="inlineStr">
        <is>
          <t>Cumprido</t>
        </is>
      </c>
      <c r="N651" s="62" t="n">
        <v>46051</v>
      </c>
      <c r="O651" s="67" t="inlineStr">
        <is>
          <t>Revisão (Documentos de implementação)</t>
        </is>
      </c>
    </row>
    <row r="652">
      <c r="A652" s="40" t="n"/>
      <c r="B652" s="40" t="inlineStr">
        <is>
          <t>Outras</t>
        </is>
      </c>
      <c r="D652" s="67" t="inlineStr">
        <is>
          <t>Jessica</t>
        </is>
      </c>
      <c r="E652" s="62" t="n">
        <v>45952</v>
      </c>
      <c r="I652" s="67" t="inlineStr"/>
      <c r="J652" s="67" t="inlineStr">
        <is>
          <t>Tarefa</t>
        </is>
      </c>
      <c r="K652" s="62" t="n">
        <v>46051</v>
      </c>
      <c r="L652" s="67" t="inlineStr">
        <is>
          <t>Pedro Victor</t>
        </is>
      </c>
      <c r="M652" s="40" t="inlineStr">
        <is>
          <t>Cumprido</t>
        </is>
      </c>
      <c r="N652" s="62" t="n">
        <v>46051</v>
      </c>
      <c r="O652" s="67" t="inlineStr">
        <is>
          <t xml:space="preserve">a)	SEFAZ (Dívida Estadual):
Ação: Agendar reunião presencial na SEFAZ para solicitar o cancelamento do parcelamento atual (nº 2011-0045-4680).
Objetivo: Remeter o saldo para a Dívida Ativa para permitir uma nova negociação em até 60 parcelas e melhorar o fluxo de caixa.
Responsáveis: Pedro Victor e Jéssica.
</t>
        </is>
      </c>
    </row>
    <row r="653">
      <c r="A653" s="40" t="inlineStr">
        <is>
          <t>0312095-90.2017.8.24.0020</t>
        </is>
      </c>
      <c r="B653" s="40" t="inlineStr">
        <is>
          <t>Outras</t>
        </is>
      </c>
      <c r="D653" s="67" t="inlineStr">
        <is>
          <t>Renata Francisco Becker</t>
        </is>
      </c>
      <c r="E653" s="62" t="n">
        <v>44701</v>
      </c>
      <c r="F653" s="67" t="inlineStr">
        <is>
          <t>2ª Vara</t>
        </is>
      </c>
      <c r="I653" s="67" t="inlineStr">
        <is>
          <t>0001666-95.2025.5.12.0003</t>
        </is>
      </c>
      <c r="J653" s="67" t="inlineStr">
        <is>
          <t>Tarefa</t>
        </is>
      </c>
      <c r="K653" s="62" t="n">
        <v>46051</v>
      </c>
      <c r="L653" s="67" t="inlineStr">
        <is>
          <t>Marelize Controladoria</t>
        </is>
      </c>
      <c r="M653" s="40" t="inlineStr">
        <is>
          <t>Cumprido</t>
        </is>
      </c>
      <c r="N653" s="62" t="n">
        <v>46051</v>
      </c>
      <c r="O653" s="67" t="inlineStr">
        <is>
          <t>Anotar nas agendas físicas.</t>
        </is>
      </c>
    </row>
    <row r="654">
      <c r="A654" s="40" t="inlineStr">
        <is>
          <t>5036690-48.2025.4.04.7200</t>
        </is>
      </c>
      <c r="B654" s="40" t="inlineStr">
        <is>
          <t>Outras</t>
        </is>
      </c>
      <c r="D654" s="67" t="inlineStr">
        <is>
          <t>Renata Francisco Becker</t>
        </is>
      </c>
      <c r="E654" s="62" t="n">
        <v>45932</v>
      </c>
      <c r="F654" s="67" t="inlineStr">
        <is>
          <t>Juízo Substituto da 3ª Unidade de Apoio em Execução Fiscal (PRCTB19)</t>
        </is>
      </c>
      <c r="I654" s="67" t="inlineStr">
        <is>
          <t>0001610-62.2025.5.12.0003</t>
        </is>
      </c>
      <c r="J654" s="67" t="inlineStr">
        <is>
          <t>Tarefa</t>
        </is>
      </c>
      <c r="K654" s="62" t="n">
        <v>46051</v>
      </c>
      <c r="L654" s="67" t="inlineStr">
        <is>
          <t>Marelize Controladoria</t>
        </is>
      </c>
      <c r="M654" s="40" t="inlineStr">
        <is>
          <t>Cumprido</t>
        </is>
      </c>
      <c r="N654" s="62" t="n">
        <v>46051</v>
      </c>
      <c r="O654" s="67" t="inlineStr">
        <is>
          <t>Anotação nas agendas físicas.</t>
        </is>
      </c>
    </row>
    <row r="655">
      <c r="A655" s="40" t="n"/>
      <c r="B655" s="40" t="inlineStr">
        <is>
          <t>Outras</t>
        </is>
      </c>
      <c r="D655" s="67" t="inlineStr">
        <is>
          <t>Renata Francisco Becker</t>
        </is>
      </c>
      <c r="E655" s="62" t="n">
        <v>45898</v>
      </c>
      <c r="I655" s="67" t="inlineStr">
        <is>
          <t>0001610-62.2025.5.12.0003</t>
        </is>
      </c>
      <c r="J655" s="67" t="inlineStr">
        <is>
          <t>Tarefa</t>
        </is>
      </c>
      <c r="K655" s="62" t="n">
        <v>46051</v>
      </c>
      <c r="L655" s="67" t="inlineStr">
        <is>
          <t>Marelize Controladoria</t>
        </is>
      </c>
      <c r="M655" s="40" t="inlineStr">
        <is>
          <t>Cumprido</t>
        </is>
      </c>
      <c r="N655" s="62" t="n">
        <v>46051</v>
      </c>
      <c r="O655" s="67" t="inlineStr">
        <is>
          <t>Avisar cliente da audiencia.</t>
        </is>
      </c>
    </row>
    <row r="656">
      <c r="A656" s="40" t="n"/>
      <c r="B656" s="40" t="inlineStr">
        <is>
          <t>Outras</t>
        </is>
      </c>
      <c r="D656" s="67" t="inlineStr">
        <is>
          <t>Pedro Victor</t>
        </is>
      </c>
      <c r="E656" s="62" t="n">
        <v>45950</v>
      </c>
      <c r="I656" s="67" t="inlineStr">
        <is>
          <t>0001666-95.2025.5.12.0003</t>
        </is>
      </c>
      <c r="J656" s="67" t="inlineStr">
        <is>
          <t>Tarefa</t>
        </is>
      </c>
      <c r="K656" s="62" t="n">
        <v>46051</v>
      </c>
      <c r="L656" s="67" t="inlineStr">
        <is>
          <t>Marelize Controladoria</t>
        </is>
      </c>
      <c r="M656" s="40" t="inlineStr">
        <is>
          <t>Cumprido</t>
        </is>
      </c>
      <c r="N656" s="62" t="n">
        <v>46051</v>
      </c>
      <c r="O656" s="67" t="inlineStr">
        <is>
          <t>Avisar cliente da audiencia.</t>
        </is>
      </c>
    </row>
    <row r="657">
      <c r="A657" s="40" t="inlineStr">
        <is>
          <t>5000358-97.2025.8.24.0020</t>
        </is>
      </c>
      <c r="B657" s="40" t="inlineStr">
        <is>
          <t>Outras</t>
        </is>
      </c>
      <c r="D657" s="67" t="inlineStr">
        <is>
          <t>Renata Francisco Becker</t>
        </is>
      </c>
      <c r="E657" s="62" t="n">
        <v>45707</v>
      </c>
      <c r="F657" s="67" t="inlineStr">
        <is>
          <t>Juízo da 1ª Vara Cível da Comarca de Criciúma</t>
        </is>
      </c>
      <c r="I657" s="67" t="inlineStr"/>
      <c r="J657" s="67" t="inlineStr">
        <is>
          <t>Tarefa</t>
        </is>
      </c>
      <c r="K657" s="62" t="n">
        <v>46051</v>
      </c>
      <c r="L657" s="67" t="inlineStr">
        <is>
          <t>Marelize Controladoria</t>
        </is>
      </c>
      <c r="M657" s="40" t="inlineStr">
        <is>
          <t>Cumprido</t>
        </is>
      </c>
      <c r="N657" s="62" t="n">
        <v>46051</v>
      </c>
      <c r="O657" s="67" t="inlineStr">
        <is>
          <t>Conferir prazos no TJs - TJSC - TJRS - TRT12 - TRF4 - JFSC - TJRJ - TJPR - TJPA - TJSP - TJGO</t>
        </is>
      </c>
    </row>
    <row r="658">
      <c r="A658" s="40" t="inlineStr">
        <is>
          <t>5001247-53.2025.8.24.0084</t>
        </is>
      </c>
      <c r="B658" s="40" t="inlineStr">
        <is>
          <t>Outras</t>
        </is>
      </c>
      <c r="D658" s="67" t="inlineStr">
        <is>
          <t>Renata Francisco Becker</t>
        </is>
      </c>
      <c r="E658" s="62" t="n">
        <v>45911</v>
      </c>
      <c r="F658" s="67" t="inlineStr"/>
      <c r="I658" s="67" t="inlineStr"/>
      <c r="J658" s="67" t="inlineStr">
        <is>
          <t>Tarefa</t>
        </is>
      </c>
      <c r="K658" s="62" t="n">
        <v>46051</v>
      </c>
      <c r="L658" s="67" t="inlineStr">
        <is>
          <t>Marelize Controladoria</t>
        </is>
      </c>
      <c r="M658" s="40" t="inlineStr">
        <is>
          <t>Cumprido</t>
        </is>
      </c>
      <c r="N658" s="62" t="n">
        <v>46051</v>
      </c>
      <c r="O658" s="67" t="inlineStr">
        <is>
          <t>Criar pasta no servidor</t>
        </is>
      </c>
    </row>
    <row r="659">
      <c r="A659" s="40" t="n"/>
      <c r="B659" s="40" t="inlineStr">
        <is>
          <t>Outras</t>
        </is>
      </c>
      <c r="D659" s="67" t="inlineStr">
        <is>
          <t>Luci</t>
        </is>
      </c>
      <c r="E659" s="62" t="n">
        <v>45983</v>
      </c>
      <c r="I659" s="67" t="inlineStr"/>
      <c r="J659" s="67" t="inlineStr">
        <is>
          <t>Tarefa</t>
        </is>
      </c>
      <c r="K659" s="62" t="n">
        <v>46051</v>
      </c>
      <c r="L659" s="67" t="inlineStr">
        <is>
          <t xml:space="preserve">Lucas </t>
        </is>
      </c>
      <c r="M659" s="40" t="inlineStr">
        <is>
          <t>Cumprido</t>
        </is>
      </c>
      <c r="N659" s="62" t="n">
        <v>46051</v>
      </c>
      <c r="O659" s="67" t="inlineStr">
        <is>
          <t>Criar termo aditivo para contrato com a PROLICON ação de regresso e contendo foro de eleição.</t>
        </is>
      </c>
    </row>
    <row r="660">
      <c r="A660" s="40" t="inlineStr">
        <is>
          <t>0002090-49.2025.5.12.0000</t>
        </is>
      </c>
      <c r="B660" s="40" t="inlineStr">
        <is>
          <t>Outras</t>
        </is>
      </c>
      <c r="D660" s="67" t="inlineStr">
        <is>
          <t>Renata Francisco Becker</t>
        </is>
      </c>
      <c r="E660" s="62" t="n">
        <v>45957</v>
      </c>
      <c r="F660" s="67" t="inlineStr"/>
      <c r="I660" s="67" t="inlineStr">
        <is>
          <t>5003068-76.2019.8.24.0028</t>
        </is>
      </c>
      <c r="J660" s="67" t="inlineStr">
        <is>
          <t>Tarefa</t>
        </is>
      </c>
      <c r="K660" s="62" t="n">
        <v>46051</v>
      </c>
      <c r="L660" s="67" t="inlineStr">
        <is>
          <t xml:space="preserve">Alexia </t>
        </is>
      </c>
      <c r="M660" s="40" t="inlineStr">
        <is>
          <t>Cumprido</t>
        </is>
      </c>
      <c r="N660" s="62" t="n">
        <v>46051</v>
      </c>
      <c r="O660" s="67" t="inlineStr">
        <is>
          <t>Elaboração</t>
        </is>
      </c>
    </row>
    <row r="661">
      <c r="A661" s="40" t="n"/>
      <c r="B661" s="40" t="inlineStr">
        <is>
          <t>Outras</t>
        </is>
      </c>
      <c r="D661" s="67" t="inlineStr">
        <is>
          <t>Pedro Victor</t>
        </is>
      </c>
      <c r="E661" s="62" t="n">
        <v>45926</v>
      </c>
      <c r="I661" s="67" t="inlineStr"/>
      <c r="J661" s="67" t="inlineStr">
        <is>
          <t>Tarefa</t>
        </is>
      </c>
      <c r="K661" s="62" t="n">
        <v>46051</v>
      </c>
      <c r="L661" s="67" t="inlineStr">
        <is>
          <t>Jessica</t>
        </is>
      </c>
      <c r="M661" s="40" t="inlineStr">
        <is>
          <t>Cumprido</t>
        </is>
      </c>
      <c r="N661" s="62" t="n">
        <v>46051</v>
      </c>
      <c r="O661" s="67" t="inlineStr">
        <is>
          <t>Elaboração de clausula tributária</t>
        </is>
      </c>
    </row>
    <row r="662">
      <c r="A662" s="40" t="n"/>
      <c r="B662" s="40" t="inlineStr">
        <is>
          <t>Outras</t>
        </is>
      </c>
      <c r="D662" s="67" t="inlineStr">
        <is>
          <t>Pedro Victor</t>
        </is>
      </c>
      <c r="E662" s="62" t="n">
        <v>45995</v>
      </c>
      <c r="I662" s="67" t="inlineStr"/>
      <c r="J662" s="67" t="inlineStr">
        <is>
          <t>Tarefa</t>
        </is>
      </c>
      <c r="K662" s="62" t="n">
        <v>46051</v>
      </c>
      <c r="L662" s="67" t="inlineStr">
        <is>
          <t>Pedro Victor</t>
        </is>
      </c>
      <c r="M662" s="40" t="inlineStr">
        <is>
          <t>Cumprido</t>
        </is>
      </c>
      <c r="N662" s="62" t="n">
        <v>46051</v>
      </c>
      <c r="O662" s="67" t="inlineStr">
        <is>
          <t xml:space="preserve">Entrega de parecer e orçamento para cliente </t>
        </is>
      </c>
    </row>
    <row r="663">
      <c r="A663" s="40" t="inlineStr">
        <is>
          <t>5001002-66.2025.8.24.0076</t>
        </is>
      </c>
      <c r="B663" s="40" t="inlineStr">
        <is>
          <t>Outras</t>
        </is>
      </c>
      <c r="D663" s="67" t="inlineStr">
        <is>
          <t>Renata Francisco Becker</t>
        </is>
      </c>
      <c r="E663" s="62" t="n">
        <v>45777</v>
      </c>
      <c r="F663" s="67" t="inlineStr">
        <is>
          <t>Juízo da Vara Única da Comarca de Turvo</t>
        </is>
      </c>
      <c r="I663" s="67" t="inlineStr"/>
      <c r="J663" s="67" t="inlineStr">
        <is>
          <t>Tarefa</t>
        </is>
      </c>
      <c r="K663" s="62" t="n">
        <v>46051</v>
      </c>
      <c r="L663" s="67" t="inlineStr">
        <is>
          <t xml:space="preserve">Lucas </t>
        </is>
      </c>
      <c r="M663" s="40" t="inlineStr">
        <is>
          <t>Cumprido</t>
        </is>
      </c>
      <c r="N663" s="62" t="n">
        <v>46051</v>
      </c>
      <c r="O663" s="67" t="inlineStr">
        <is>
          <t>Entregar contrato Auxiliar Mecânico e Chefe de Oficina para Vitor na sexta.</t>
        </is>
      </c>
    </row>
    <row r="664">
      <c r="A664" s="40" t="inlineStr">
        <is>
          <t>02023.004161/2025-04</t>
        </is>
      </c>
      <c r="B664" s="40" t="inlineStr">
        <is>
          <t>Outras</t>
        </is>
      </c>
      <c r="D664" s="67" t="inlineStr">
        <is>
          <t>Renata Francisco Becker</t>
        </is>
      </c>
      <c r="E664" s="62" t="n">
        <v>45987</v>
      </c>
      <c r="F664" s="67" t="inlineStr"/>
      <c r="I664" s="67" t="inlineStr"/>
      <c r="J664" s="67" t="inlineStr">
        <is>
          <t>Tarefa</t>
        </is>
      </c>
      <c r="K664" s="62" t="n">
        <v>46051</v>
      </c>
      <c r="L664" s="67" t="inlineStr">
        <is>
          <t>Marelize Controladoria</t>
        </is>
      </c>
      <c r="M664" s="40" t="inlineStr">
        <is>
          <t>Cumprido</t>
        </is>
      </c>
      <c r="N664" s="62" t="n">
        <v>46051</v>
      </c>
      <c r="O664" s="67" t="inlineStr">
        <is>
          <t>Fazer agendas</t>
        </is>
      </c>
    </row>
    <row r="665">
      <c r="A665" s="40" t="inlineStr">
        <is>
          <t>5019444-54.2025.8.24.0020</t>
        </is>
      </c>
      <c r="B665" s="40" t="inlineStr">
        <is>
          <t>Outras</t>
        </is>
      </c>
      <c r="D665" s="67" t="inlineStr">
        <is>
          <t>Renata Francisco Becker</t>
        </is>
      </c>
      <c r="E665" s="62" t="n">
        <v>45978</v>
      </c>
      <c r="F665" s="67" t="inlineStr">
        <is>
          <t>Juizado Especial Cível</t>
        </is>
      </c>
      <c r="I665" s="67" t="inlineStr"/>
      <c r="J665" s="67" t="inlineStr">
        <is>
          <t>Tarefa</t>
        </is>
      </c>
      <c r="K665" s="62" t="n">
        <v>46051</v>
      </c>
      <c r="L665" s="67" t="inlineStr">
        <is>
          <t>Marelize Controladoria</t>
        </is>
      </c>
      <c r="M665" s="40" t="inlineStr">
        <is>
          <t>Cumprido</t>
        </is>
      </c>
      <c r="N665" s="62" t="n">
        <v>46051</v>
      </c>
      <c r="O665" s="67" t="inlineStr">
        <is>
          <t>Fazer publicações</t>
        </is>
      </c>
    </row>
    <row r="666">
      <c r="A666" s="40" t="inlineStr">
        <is>
          <t>5015117-03.2024.8.24.0020</t>
        </is>
      </c>
      <c r="B666" s="40" t="inlineStr">
        <is>
          <t>Outras</t>
        </is>
      </c>
      <c r="D666" s="67" t="inlineStr">
        <is>
          <t>Renata Francisco Becker</t>
        </is>
      </c>
      <c r="E666" s="62" t="n">
        <v>45483</v>
      </c>
      <c r="F666" s="67" t="inlineStr"/>
      <c r="I666" s="67" t="inlineStr"/>
      <c r="J666" s="67" t="inlineStr">
        <is>
          <t>Tarefa</t>
        </is>
      </c>
      <c r="K666" s="62" t="n">
        <v>46051</v>
      </c>
      <c r="L666" s="67" t="inlineStr">
        <is>
          <t>Julia</t>
        </is>
      </c>
      <c r="M666" s="40" t="inlineStr">
        <is>
          <t>Cumprido</t>
        </is>
      </c>
      <c r="N666" s="62" t="n">
        <v>46051</v>
      </c>
      <c r="O666" s="67" t="inlineStr">
        <is>
          <t>Finalização</t>
        </is>
      </c>
    </row>
    <row r="667">
      <c r="A667" s="40" t="n"/>
      <c r="B667" s="40" t="inlineStr">
        <is>
          <t>Outras</t>
        </is>
      </c>
      <c r="D667" s="67" t="inlineStr">
        <is>
          <t>Renata Francisco Becker</t>
        </is>
      </c>
      <c r="E667" s="62" t="n">
        <v>45993</v>
      </c>
      <c r="I667" s="67" t="inlineStr"/>
      <c r="J667" s="67" t="inlineStr">
        <is>
          <t>Tarefa</t>
        </is>
      </c>
      <c r="K667" s="62" t="n">
        <v>46051</v>
      </c>
      <c r="L667" s="67" t="inlineStr">
        <is>
          <t>Marelize Controladoria</t>
        </is>
      </c>
      <c r="M667" s="40" t="inlineStr">
        <is>
          <t>Cumprido</t>
        </is>
      </c>
      <c r="N667" s="62" t="n">
        <v>46051</v>
      </c>
      <c r="O667" s="67" t="inlineStr">
        <is>
          <t>Olhar e-mails</t>
        </is>
      </c>
    </row>
    <row r="668">
      <c r="A668" s="40" t="n"/>
      <c r="B668" s="40" t="inlineStr">
        <is>
          <t>Outras</t>
        </is>
      </c>
      <c r="D668" s="67" t="inlineStr">
        <is>
          <t>Renata Francisco Becker</t>
        </is>
      </c>
      <c r="E668" s="62" t="n">
        <v>45916</v>
      </c>
      <c r="I668" s="67" t="inlineStr">
        <is>
          <t>5004339-47.2024.8.24.0028</t>
        </is>
      </c>
      <c r="J668" s="67" t="inlineStr">
        <is>
          <t>Tarefa</t>
        </is>
      </c>
      <c r="K668" s="62" t="n">
        <v>46051</v>
      </c>
      <c r="L668" s="67" t="inlineStr">
        <is>
          <t>Jessica</t>
        </is>
      </c>
      <c r="M668" s="40" t="inlineStr">
        <is>
          <t>Cumprido</t>
        </is>
      </c>
      <c r="N668" s="62" t="n">
        <v>46051</v>
      </c>
      <c r="O668" s="67" t="inlineStr">
        <is>
          <t>Protocolo</t>
        </is>
      </c>
    </row>
    <row r="669">
      <c r="A669" s="40" t="n"/>
      <c r="B669" s="40" t="inlineStr">
        <is>
          <t>Outras</t>
        </is>
      </c>
      <c r="D669" s="67" t="inlineStr">
        <is>
          <t>Renata Francisco Becker</t>
        </is>
      </c>
      <c r="E669" s="62" t="n">
        <v>45677</v>
      </c>
      <c r="I669" s="67" t="inlineStr"/>
      <c r="J669" s="67" t="inlineStr">
        <is>
          <t>Tarefa</t>
        </is>
      </c>
      <c r="K669" s="62" t="n">
        <v>46051</v>
      </c>
      <c r="L669" s="67" t="inlineStr">
        <is>
          <t xml:space="preserve">Lucas </t>
        </is>
      </c>
      <c r="M669" s="40" t="inlineStr">
        <is>
          <t>Cumprido</t>
        </is>
      </c>
      <c r="N669" s="62" t="n">
        <v>46051</v>
      </c>
      <c r="O669" s="67" t="inlineStr">
        <is>
          <t>renuncia da FFpneumatico</t>
        </is>
      </c>
    </row>
    <row r="670">
      <c r="A670" s="40" t="inlineStr">
        <is>
          <t>5007152-10.2025.4.04.7204</t>
        </is>
      </c>
      <c r="B670" s="40" t="inlineStr">
        <is>
          <t>Outras</t>
        </is>
      </c>
      <c r="D670" s="67" t="inlineStr">
        <is>
          <t>Renata Francisco Becker</t>
        </is>
      </c>
      <c r="E670" s="62" t="n">
        <v>45996</v>
      </c>
      <c r="F670" s="67" t="inlineStr">
        <is>
          <t>Juizado Especial Federal</t>
        </is>
      </c>
      <c r="I670" s="67" t="inlineStr">
        <is>
          <t>5003068-76.2019.8.24.0028</t>
        </is>
      </c>
      <c r="J670" s="67" t="inlineStr">
        <is>
          <t>Tarefa</t>
        </is>
      </c>
      <c r="K670" s="62" t="n">
        <v>46051</v>
      </c>
      <c r="L670" s="67" t="inlineStr">
        <is>
          <t>Renata Francisco Becker</t>
        </is>
      </c>
      <c r="M670" s="40" t="inlineStr">
        <is>
          <t>Cumprido</t>
        </is>
      </c>
      <c r="N670" s="62" t="n">
        <v>46051</v>
      </c>
      <c r="O670" s="67" t="inlineStr">
        <is>
          <t>Revisão</t>
        </is>
      </c>
    </row>
    <row r="671">
      <c r="A671" s="40" t="inlineStr">
        <is>
          <t>5025100-51.2023.8.24.0023</t>
        </is>
      </c>
      <c r="B671" s="40" t="inlineStr">
        <is>
          <t>Outras</t>
        </is>
      </c>
      <c r="D671" s="67" t="inlineStr">
        <is>
          <t>Renata Francisco Becker</t>
        </is>
      </c>
      <c r="E671" s="62" t="n">
        <v>45754</v>
      </c>
      <c r="F671" s="67" t="inlineStr"/>
      <c r="I671" s="67" t="inlineStr">
        <is>
          <t>5003068-76.2019.8.24.0028</t>
        </is>
      </c>
      <c r="J671" s="67" t="inlineStr">
        <is>
          <t>Tarefa</t>
        </is>
      </c>
      <c r="K671" s="62" t="n">
        <v>46051</v>
      </c>
      <c r="L671" s="67" t="inlineStr">
        <is>
          <t xml:space="preserve">Alexia </t>
        </is>
      </c>
      <c r="M671" s="40" t="inlineStr">
        <is>
          <t>Cumprido</t>
        </is>
      </c>
      <c r="N671" s="62" t="n">
        <v>46051</v>
      </c>
      <c r="O671" s="67" t="inlineStr">
        <is>
          <t>Revisão</t>
        </is>
      </c>
    </row>
    <row r="672">
      <c r="A672" s="40" t="n"/>
      <c r="B672" s="40" t="inlineStr">
        <is>
          <t>Outras</t>
        </is>
      </c>
      <c r="D672" s="67" t="inlineStr">
        <is>
          <t>Pedro Victor</t>
        </is>
      </c>
      <c r="E672" s="62" t="n">
        <v>45994</v>
      </c>
      <c r="I672" s="67" t="inlineStr">
        <is>
          <t>0000851-39.2025.5.12.0055</t>
        </is>
      </c>
      <c r="J672" s="67" t="inlineStr">
        <is>
          <t>Audiência</t>
        </is>
      </c>
      <c r="K672" s="62" t="n">
        <v>46051</v>
      </c>
      <c r="L672" s="67" t="inlineStr">
        <is>
          <t>Pedro Victor</t>
        </is>
      </c>
      <c r="M672" s="40" t="inlineStr">
        <is>
          <t>Cumprido</t>
        </is>
      </c>
      <c r="N672" s="62" t="n">
        <v>46051</v>
      </c>
      <c r="O672" s="67" t="inlineStr">
        <is>
          <t>AUDIÊNCIA DE CONCILIAÇÃO</t>
        </is>
      </c>
    </row>
    <row r="673">
      <c r="A673" s="40" t="n"/>
      <c r="B673" s="40" t="inlineStr">
        <is>
          <t>Outras</t>
        </is>
      </c>
      <c r="D673" s="67" t="inlineStr">
        <is>
          <t>Pedro Victor</t>
        </is>
      </c>
      <c r="E673" s="62" t="n">
        <v>45994</v>
      </c>
      <c r="I673" s="67" t="inlineStr"/>
      <c r="J673" s="67" t="inlineStr">
        <is>
          <t>Evento</t>
        </is>
      </c>
      <c r="K673" s="62" t="n">
        <v>46051</v>
      </c>
      <c r="L673" s="67" t="inlineStr">
        <is>
          <t>Renata Francisco Becker</t>
        </is>
      </c>
      <c r="M673" s="40" t="inlineStr">
        <is>
          <t>Cumprido</t>
        </is>
      </c>
      <c r="N673" s="62" t="n">
        <v>46051</v>
      </c>
      <c r="O673" s="67" t="inlineStr">
        <is>
          <t>Reunião de Alinhamento KARIA</t>
        </is>
      </c>
    </row>
    <row r="674">
      <c r="A674" s="40" t="n"/>
      <c r="B674" s="40" t="inlineStr">
        <is>
          <t>Outras</t>
        </is>
      </c>
      <c r="D674" s="67" t="inlineStr">
        <is>
          <t>Pedro Victor</t>
        </is>
      </c>
      <c r="E674" s="62" t="n">
        <v>45994</v>
      </c>
      <c r="I674" s="67" t="inlineStr"/>
      <c r="J674" s="67" t="inlineStr">
        <is>
          <t>Evento</t>
        </is>
      </c>
      <c r="K674" s="62" t="n">
        <v>46051</v>
      </c>
      <c r="L674" s="67" t="inlineStr">
        <is>
          <t>Pedro Victor</t>
        </is>
      </c>
      <c r="M674" s="40" t="inlineStr">
        <is>
          <t>Cumprido</t>
        </is>
      </c>
      <c r="N674" s="62" t="n">
        <v>46051</v>
      </c>
      <c r="O674" s="67" t="inlineStr">
        <is>
          <t>Reunião Rodrigo Pizza Rápida</t>
        </is>
      </c>
    </row>
    <row r="675">
      <c r="A675" s="40" t="n"/>
      <c r="B675" s="40" t="inlineStr">
        <is>
          <t>Outras</t>
        </is>
      </c>
      <c r="D675" s="67" t="inlineStr">
        <is>
          <t>Pedro Victor</t>
        </is>
      </c>
      <c r="E675" s="62" t="n">
        <v>45926</v>
      </c>
      <c r="I675" s="67" t="inlineStr"/>
      <c r="J675" s="67" t="inlineStr">
        <is>
          <t>Evento</t>
        </is>
      </c>
      <c r="K675" s="62" t="n">
        <v>46051</v>
      </c>
      <c r="L675" s="67" t="inlineStr">
        <is>
          <t>Renata Francisco Becker</t>
        </is>
      </c>
      <c r="M675" s="40" t="inlineStr">
        <is>
          <t>Cumprido</t>
        </is>
      </c>
      <c r="N675" s="62" t="n">
        <v>46051</v>
      </c>
      <c r="O675" s="67" t="inlineStr">
        <is>
          <t xml:space="preserve">Reunião Whom </t>
        </is>
      </c>
    </row>
    <row r="676">
      <c r="A676" s="40" t="n"/>
      <c r="B676" s="40" t="inlineStr">
        <is>
          <t>Outras</t>
        </is>
      </c>
      <c r="D676" s="67" t="inlineStr">
        <is>
          <t xml:space="preserve">Lucas </t>
        </is>
      </c>
      <c r="E676" s="62" t="n">
        <v>45740</v>
      </c>
      <c r="I676" s="67" t="inlineStr"/>
      <c r="J676" s="67" t="inlineStr">
        <is>
          <t>Prazo</t>
        </is>
      </c>
      <c r="K676" s="62" t="n">
        <v>46052</v>
      </c>
      <c r="L676" s="67" t="inlineStr">
        <is>
          <t>Renata Francisco Becker</t>
        </is>
      </c>
      <c r="M676" s="40" t="inlineStr">
        <is>
          <t>Cumprido</t>
        </is>
      </c>
      <c r="N676" s="62" t="n">
        <v>46052</v>
      </c>
      <c r="O676" s="67" t="inlineStr">
        <is>
          <t>Analise de contrato Transdag Valdinei</t>
        </is>
      </c>
    </row>
    <row r="677">
      <c r="A677" s="40" t="n"/>
      <c r="B677" s="40" t="inlineStr">
        <is>
          <t>Outras</t>
        </is>
      </c>
      <c r="D677" s="67" t="inlineStr">
        <is>
          <t>Jessica</t>
        </is>
      </c>
      <c r="E677" s="62" t="n">
        <v>45950</v>
      </c>
      <c r="I677" s="67" t="inlineStr">
        <is>
          <t>5007226-28.2024.8.24.0020</t>
        </is>
      </c>
      <c r="J677" s="67" t="inlineStr">
        <is>
          <t>Prazo</t>
        </is>
      </c>
      <c r="K677" s="62" t="n">
        <v>46052</v>
      </c>
      <c r="L677" s="67" t="inlineStr">
        <is>
          <t>Renata Francisco Becker</t>
        </is>
      </c>
      <c r="M677" s="40" t="inlineStr">
        <is>
          <t>Cumprido</t>
        </is>
      </c>
      <c r="N677" s="62" t="n">
        <v>46052</v>
      </c>
      <c r="O677" s="67" t="inlineStr">
        <is>
          <t xml:space="preserve">Prazo </t>
        </is>
      </c>
    </row>
    <row r="678">
      <c r="A678" s="40" t="n"/>
      <c r="B678" s="40" t="inlineStr">
        <is>
          <t>Outras</t>
        </is>
      </c>
      <c r="D678" s="67" t="inlineStr">
        <is>
          <t>Luci</t>
        </is>
      </c>
      <c r="E678" s="62" t="n">
        <v>45743</v>
      </c>
      <c r="I678" s="67" t="inlineStr">
        <is>
          <t>0000958-45.2025.512.0003</t>
        </is>
      </c>
      <c r="J678" s="67" t="inlineStr">
        <is>
          <t>Prazo</t>
        </is>
      </c>
      <c r="K678" s="62" t="n">
        <v>46052</v>
      </c>
      <c r="L678" s="67" t="inlineStr">
        <is>
          <t>Luci</t>
        </is>
      </c>
      <c r="M678" s="40" t="inlineStr">
        <is>
          <t>Cumprido</t>
        </is>
      </c>
      <c r="N678" s="62" t="n">
        <v>46052</v>
      </c>
      <c r="O678" s="67" t="inlineStr">
        <is>
          <t>Prazo</t>
        </is>
      </c>
    </row>
    <row r="679">
      <c r="A679" s="40" t="inlineStr">
        <is>
          <t>0000438-61.2020.5.12.0003</t>
        </is>
      </c>
      <c r="B679" s="40" t="inlineStr">
        <is>
          <t>Outras</t>
        </is>
      </c>
      <c r="D679" s="67" t="inlineStr">
        <is>
          <t>Renata Francisco Becker</t>
        </is>
      </c>
      <c r="E679" s="62" t="n">
        <v>45348</v>
      </c>
      <c r="F679" s="67" t="inlineStr">
        <is>
          <t>1ª VARA DO TRABALHO DE CRICIÚMA</t>
        </is>
      </c>
      <c r="I679" s="67" t="inlineStr">
        <is>
          <t>5001153-92.2021.8.24.0166</t>
        </is>
      </c>
      <c r="J679" s="67" t="inlineStr">
        <is>
          <t>Prazo</t>
        </is>
      </c>
      <c r="K679" s="62" t="n">
        <v>46052</v>
      </c>
      <c r="L679" s="67" t="inlineStr">
        <is>
          <t>Renata Francisco Becker</t>
        </is>
      </c>
      <c r="M679" s="40" t="inlineStr">
        <is>
          <t>Cumprido</t>
        </is>
      </c>
      <c r="N679" s="62" t="n">
        <v>46052</v>
      </c>
      <c r="O679" s="67" t="inlineStr">
        <is>
          <t>Prazo (transcorrer)</t>
        </is>
      </c>
    </row>
    <row r="680">
      <c r="A680" s="40" t="n"/>
      <c r="B680" s="40" t="inlineStr">
        <is>
          <t>Outras</t>
        </is>
      </c>
      <c r="D680" s="67" t="inlineStr">
        <is>
          <t>Renata Francisco Becker</t>
        </is>
      </c>
      <c r="E680" s="62" t="n">
        <v>45974</v>
      </c>
      <c r="I680" s="67" t="inlineStr">
        <is>
          <t>5344418-78.2025.8.21.7000</t>
        </is>
      </c>
      <c r="J680" s="67" t="inlineStr">
        <is>
          <t>Prazo</t>
        </is>
      </c>
      <c r="K680" s="62" t="n">
        <v>46052</v>
      </c>
      <c r="L680" s="67" t="inlineStr">
        <is>
          <t>Renata Francisco Becker</t>
        </is>
      </c>
      <c r="M680" s="40" t="inlineStr">
        <is>
          <t>Cumprido</t>
        </is>
      </c>
      <c r="N680" s="62" t="n">
        <v>46052</v>
      </c>
      <c r="O680" s="67" t="inlineStr">
        <is>
          <t>Prazo Decisão Agravo Inst</t>
        </is>
      </c>
    </row>
    <row r="681">
      <c r="A681" s="40" t="n"/>
      <c r="B681" s="40" t="inlineStr">
        <is>
          <t>Outras</t>
        </is>
      </c>
      <c r="D681" s="67" t="inlineStr">
        <is>
          <t>Renata Francisco Becker</t>
        </is>
      </c>
      <c r="E681" s="62" t="n">
        <v>45860</v>
      </c>
      <c r="I681" s="67" t="inlineStr">
        <is>
          <t>0001263-67.2025.5.12.0055</t>
        </is>
      </c>
      <c r="J681" s="67" t="inlineStr">
        <is>
          <t>Prazo</t>
        </is>
      </c>
      <c r="K681" s="62" t="n">
        <v>46052</v>
      </c>
      <c r="L681" s="67" t="inlineStr">
        <is>
          <t>Renata Francisco Becker</t>
        </is>
      </c>
      <c r="M681" s="40" t="inlineStr">
        <is>
          <t>Cumprido</t>
        </is>
      </c>
      <c r="N681" s="62" t="n">
        <v>46052</v>
      </c>
      <c r="O681" s="67" t="inlineStr">
        <is>
          <t>Prazo pgto custas URGENTE</t>
        </is>
      </c>
    </row>
    <row r="682">
      <c r="A682" s="40" t="n"/>
      <c r="B682" s="40" t="inlineStr">
        <is>
          <t>Outras</t>
        </is>
      </c>
      <c r="D682" s="67" t="inlineStr">
        <is>
          <t>Renata Francisco Becker</t>
        </is>
      </c>
      <c r="E682" s="62" t="n">
        <v>45982</v>
      </c>
      <c r="I682" s="67" t="inlineStr">
        <is>
          <t>5007226-28.2024.8.24.0020</t>
        </is>
      </c>
      <c r="J682" s="67" t="inlineStr">
        <is>
          <t>Tarefa</t>
        </is>
      </c>
      <c r="K682" s="62" t="n">
        <v>46052</v>
      </c>
      <c r="L682" s="67" t="inlineStr">
        <is>
          <t>Renata Francisco Becker</t>
        </is>
      </c>
      <c r="M682" s="40" t="inlineStr">
        <is>
          <t>Cumprido</t>
        </is>
      </c>
      <c r="N682" s="62" t="n">
        <v>46052</v>
      </c>
      <c r="O682" s="67" t="inlineStr">
        <is>
          <t>Elaboração</t>
        </is>
      </c>
    </row>
    <row r="683">
      <c r="A683" s="40" t="inlineStr">
        <is>
          <t>0012239-96.2021.8.19.0001</t>
        </is>
      </c>
      <c r="B683" s="40" t="inlineStr">
        <is>
          <t>Outras</t>
        </is>
      </c>
      <c r="D683" s="67" t="inlineStr">
        <is>
          <t>Renata Francisco Becker</t>
        </is>
      </c>
      <c r="E683" s="62" t="n">
        <v>45391</v>
      </c>
      <c r="F683" s="67" t="inlineStr">
        <is>
          <t>3ª Vara Empresarial</t>
        </is>
      </c>
      <c r="I683" s="67" t="inlineStr"/>
      <c r="J683" s="67" t="inlineStr">
        <is>
          <t>Tarefa</t>
        </is>
      </c>
      <c r="K683" s="62" t="n">
        <v>46052</v>
      </c>
      <c r="L683" s="67" t="inlineStr">
        <is>
          <t xml:space="preserve">Lucas </t>
        </is>
      </c>
      <c r="M683" s="40" t="inlineStr">
        <is>
          <t>Cumprido</t>
        </is>
      </c>
      <c r="N683" s="62" t="n">
        <v>46052</v>
      </c>
      <c r="O683" s="67" t="inlineStr">
        <is>
          <t>Implementação (Documentos e orientações)</t>
        </is>
      </c>
    </row>
    <row r="684">
      <c r="A684" s="40" t="inlineStr">
        <is>
          <t>054793.0089969/2025</t>
        </is>
      </c>
      <c r="B684" s="40" t="inlineStr">
        <is>
          <t>Outras</t>
        </is>
      </c>
      <c r="D684" s="67" t="inlineStr">
        <is>
          <t>Renata Francisco Becker</t>
        </is>
      </c>
      <c r="E684" s="62" t="n">
        <v>45982</v>
      </c>
      <c r="F684" s="67" t="inlineStr"/>
      <c r="I684" s="67" t="inlineStr">
        <is>
          <t>0000958-45.2025.512.0003</t>
        </is>
      </c>
      <c r="J684" s="67" t="inlineStr">
        <is>
          <t>Tarefa</t>
        </is>
      </c>
      <c r="K684" s="62" t="n">
        <v>46052</v>
      </c>
      <c r="L684" s="67" t="inlineStr">
        <is>
          <t>Luci</t>
        </is>
      </c>
      <c r="M684" s="40" t="inlineStr">
        <is>
          <t>Cumprido</t>
        </is>
      </c>
      <c r="N684" s="62" t="n">
        <v>46052</v>
      </c>
      <c r="O684" s="67" t="inlineStr">
        <is>
          <t>Protocolo</t>
        </is>
      </c>
    </row>
    <row r="685">
      <c r="A685" s="40" t="inlineStr">
        <is>
          <t>5006158-82.2025.8.24.0028</t>
        </is>
      </c>
      <c r="B685" s="40" t="inlineStr">
        <is>
          <t>Outras</t>
        </is>
      </c>
      <c r="D685" s="67" t="inlineStr">
        <is>
          <t>Renata Francisco Becker</t>
        </is>
      </c>
      <c r="E685" s="62" t="n">
        <v>45964</v>
      </c>
      <c r="F685" s="67" t="inlineStr"/>
      <c r="I685" s="67" t="inlineStr">
        <is>
          <t>50380204920254040000</t>
        </is>
      </c>
      <c r="J685" s="67" t="inlineStr">
        <is>
          <t>Tarefa</t>
        </is>
      </c>
      <c r="K685" s="62" t="n">
        <v>46052</v>
      </c>
      <c r="L685" s="67" t="inlineStr">
        <is>
          <t>Renata Francisco Becker</t>
        </is>
      </c>
      <c r="M685" s="40" t="inlineStr">
        <is>
          <t>Cumprido</t>
        </is>
      </c>
      <c r="N685" s="62" t="n">
        <v>46052</v>
      </c>
      <c r="O685" s="67" t="inlineStr">
        <is>
          <t>Revisão</t>
        </is>
      </c>
    </row>
    <row r="686">
      <c r="A686" s="40" t="inlineStr">
        <is>
          <t>5004196-19.2021.8.24.0075</t>
        </is>
      </c>
      <c r="B686" s="40" t="inlineStr">
        <is>
          <t>Outras</t>
        </is>
      </c>
      <c r="D686" s="67" t="inlineStr">
        <is>
          <t>Renata Francisco Becker</t>
        </is>
      </c>
      <c r="E686" s="62" t="n">
        <v>45807</v>
      </c>
      <c r="F686" s="67" t="inlineStr">
        <is>
          <t>Vara Estadual de Execuções de Penas de Multa</t>
        </is>
      </c>
      <c r="I686" s="67" t="inlineStr">
        <is>
          <t>50380204920254040000</t>
        </is>
      </c>
      <c r="J686" s="67" t="inlineStr">
        <is>
          <t>Tarefa</t>
        </is>
      </c>
      <c r="K686" s="62" t="n">
        <v>46052</v>
      </c>
      <c r="L686" s="67" t="inlineStr">
        <is>
          <t>Jessica</t>
        </is>
      </c>
      <c r="M686" s="40" t="inlineStr">
        <is>
          <t>Cumprido</t>
        </is>
      </c>
      <c r="N686" s="62" t="n">
        <v>46052</v>
      </c>
      <c r="O686" s="67" t="inlineStr">
        <is>
          <t>Revisão</t>
        </is>
      </c>
    </row>
    <row r="687">
      <c r="A687" s="40" t="inlineStr">
        <is>
          <t>0302136-95.2017.8.24.0020</t>
        </is>
      </c>
      <c r="B687" s="40" t="inlineStr">
        <is>
          <t>Outras</t>
        </is>
      </c>
      <c r="D687" s="67" t="inlineStr">
        <is>
          <t>Renata Francisco Becker</t>
        </is>
      </c>
      <c r="E687" s="62" t="n">
        <v>44701</v>
      </c>
      <c r="F687" s="67" t="inlineStr">
        <is>
          <t>Juizado Especial Civel Criciuma</t>
        </is>
      </c>
      <c r="I687" s="67" t="inlineStr">
        <is>
          <t>00015545420255120027</t>
        </is>
      </c>
      <c r="J687" s="67" t="inlineStr">
        <is>
          <t>Tarefa</t>
        </is>
      </c>
      <c r="K687" s="62" t="n">
        <v>46052</v>
      </c>
      <c r="L687" s="67" t="inlineStr">
        <is>
          <t>Renata Francisco Becker</t>
        </is>
      </c>
      <c r="M687" s="40" t="inlineStr">
        <is>
          <t>Cumprido</t>
        </is>
      </c>
      <c r="N687" s="62" t="n">
        <v>46052</v>
      </c>
      <c r="O687" s="67" t="inlineStr">
        <is>
          <t>Revisão</t>
        </is>
      </c>
    </row>
    <row r="688">
      <c r="A688" s="40" t="inlineStr">
        <is>
          <t>50009547220238240175</t>
        </is>
      </c>
      <c r="B688" s="40" t="inlineStr">
        <is>
          <t>Outras</t>
        </is>
      </c>
      <c r="D688" s="67" t="inlineStr">
        <is>
          <t>Renata Francisco Becker</t>
        </is>
      </c>
      <c r="E688" s="62" t="n">
        <v>45755</v>
      </c>
      <c r="F688" s="67" t="inlineStr">
        <is>
          <t>Juizo da Vara Única</t>
        </is>
      </c>
      <c r="I688" s="67" t="inlineStr"/>
      <c r="J688" s="67" t="inlineStr">
        <is>
          <t>Tarefa</t>
        </is>
      </c>
      <c r="K688" s="62" t="n">
        <v>46052</v>
      </c>
      <c r="L688" s="67" t="inlineStr">
        <is>
          <t>Marelize Controladoria</t>
        </is>
      </c>
      <c r="M688" s="40" t="inlineStr">
        <is>
          <t>Cumprido</t>
        </is>
      </c>
      <c r="N688" s="62" t="n">
        <v>46052</v>
      </c>
      <c r="O688" s="67" t="inlineStr">
        <is>
          <t>30/01/2026 - Conferir prazos no TJs - TJSC - TJRS - TRT12 - TRF4 - JFSC - TJRJ - TJPR - TJPA - TJSP - TJGO;</t>
        </is>
      </c>
    </row>
    <row r="689">
      <c r="A689" s="40" t="n"/>
      <c r="B689" s="40" t="inlineStr">
        <is>
          <t>Outras</t>
        </is>
      </c>
      <c r="D689" s="67" t="inlineStr">
        <is>
          <t>Renata Francisco Becker</t>
        </is>
      </c>
      <c r="E689" s="62" t="n">
        <v>45986</v>
      </c>
      <c r="I689" s="67" t="inlineStr"/>
      <c r="J689" s="67" t="inlineStr">
        <is>
          <t>Tarefa</t>
        </is>
      </c>
      <c r="K689" s="62" t="n">
        <v>46052</v>
      </c>
      <c r="L689" s="67" t="inlineStr">
        <is>
          <t>Marelize Controladoria</t>
        </is>
      </c>
      <c r="M689" s="40" t="inlineStr">
        <is>
          <t>Cumprido</t>
        </is>
      </c>
      <c r="N689" s="62" t="n">
        <v>46052</v>
      </c>
      <c r="O689" s="67" t="inlineStr">
        <is>
          <t>30/01/2026 - Fazer Agendas.</t>
        </is>
      </c>
    </row>
    <row r="690">
      <c r="A690" s="40" t="inlineStr">
        <is>
          <t>5022103-07.2023.8.24.0020</t>
        </is>
      </c>
      <c r="B690" s="40" t="inlineStr">
        <is>
          <t>Outras</t>
        </is>
      </c>
      <c r="D690" s="67" t="inlineStr">
        <is>
          <t>Renata Francisco Becker</t>
        </is>
      </c>
      <c r="E690" s="62" t="n">
        <v>45180</v>
      </c>
      <c r="F690" s="67" t="inlineStr"/>
      <c r="I690" s="67" t="inlineStr"/>
      <c r="J690" s="67" t="inlineStr">
        <is>
          <t>Tarefa</t>
        </is>
      </c>
      <c r="K690" s="62" t="n">
        <v>46052</v>
      </c>
      <c r="L690" s="67" t="inlineStr">
        <is>
          <t>Marelize Controladoria</t>
        </is>
      </c>
      <c r="M690" s="40" t="inlineStr">
        <is>
          <t>Cumprido</t>
        </is>
      </c>
      <c r="N690" s="62" t="n">
        <v>46052</v>
      </c>
      <c r="O690" s="67" t="inlineStr">
        <is>
          <t>30/01/2026 - Fazer Publicações.</t>
        </is>
      </c>
    </row>
    <row r="691">
      <c r="A691" s="40" t="n"/>
      <c r="B691" s="40" t="inlineStr">
        <is>
          <t>Outras</t>
        </is>
      </c>
      <c r="D691" s="67" t="inlineStr">
        <is>
          <t>Renata Francisco Becker</t>
        </is>
      </c>
      <c r="E691" s="62" t="n">
        <v>45987</v>
      </c>
      <c r="I691" s="67" t="inlineStr"/>
      <c r="J691" s="67" t="inlineStr">
        <is>
          <t>Tarefa</t>
        </is>
      </c>
      <c r="K691" s="62" t="n">
        <v>46052</v>
      </c>
      <c r="L691" s="67" t="inlineStr">
        <is>
          <t>Marelize Controladoria</t>
        </is>
      </c>
      <c r="M691" s="40" t="inlineStr">
        <is>
          <t>Cumprido</t>
        </is>
      </c>
      <c r="N691" s="62" t="n">
        <v>46052</v>
      </c>
      <c r="O691" s="67" t="inlineStr">
        <is>
          <t>30/01/2026 - Olhar E-mails.</t>
        </is>
      </c>
    </row>
    <row r="692">
      <c r="A692" s="40" t="n"/>
      <c r="B692" s="40" t="inlineStr">
        <is>
          <t>Outras</t>
        </is>
      </c>
      <c r="D692" s="67" t="inlineStr">
        <is>
          <t>Renata Francisco Becker</t>
        </is>
      </c>
      <c r="E692" s="62" t="n">
        <v>45980</v>
      </c>
      <c r="I692" s="67" t="inlineStr"/>
      <c r="J692" s="67" t="inlineStr">
        <is>
          <t>Tarefa</t>
        </is>
      </c>
      <c r="K692" s="62" t="n">
        <v>46052</v>
      </c>
      <c r="L692" s="67" t="inlineStr">
        <is>
          <t>Pedro Victor</t>
        </is>
      </c>
      <c r="M692" s="40" t="inlineStr">
        <is>
          <t>Cumprido</t>
        </is>
      </c>
      <c r="N692" s="62" t="n">
        <v>46052</v>
      </c>
      <c r="O692" s="67" t="inlineStr">
        <is>
          <t>Abrir caso Crippa</t>
        </is>
      </c>
    </row>
    <row r="693">
      <c r="A693" s="40" t="n"/>
      <c r="B693" s="40" t="inlineStr">
        <is>
          <t>Outras</t>
        </is>
      </c>
      <c r="D693" s="67" t="inlineStr">
        <is>
          <t>Renata Francisco Becker</t>
        </is>
      </c>
      <c r="E693" s="62" t="n">
        <v>45986</v>
      </c>
      <c r="I693" s="67" t="inlineStr">
        <is>
          <t>5007007-54.2025.8.24.0028</t>
        </is>
      </c>
      <c r="J693" s="67" t="inlineStr">
        <is>
          <t>Tarefa</t>
        </is>
      </c>
      <c r="K693" s="62" t="n">
        <v>46052</v>
      </c>
      <c r="L693" s="67" t="inlineStr">
        <is>
          <t>Julia</t>
        </is>
      </c>
      <c r="M693" s="40" t="inlineStr">
        <is>
          <t>Cumprido</t>
        </is>
      </c>
      <c r="N693" s="62" t="n">
        <v>46052</v>
      </c>
      <c r="O693" s="67" t="inlineStr">
        <is>
          <t>ACOMPANHAR A PENSAO POR MORTE DO IRMAO DA RE</t>
        </is>
      </c>
    </row>
    <row r="694">
      <c r="A694" s="40" t="inlineStr">
        <is>
          <t>5050025-43.2025.8.24.0023</t>
        </is>
      </c>
      <c r="B694" s="40" t="inlineStr">
        <is>
          <t>Outras</t>
        </is>
      </c>
      <c r="D694" s="67" t="inlineStr">
        <is>
          <t>Renata Francisco Becker</t>
        </is>
      </c>
      <c r="E694" s="62" t="n">
        <v>45849</v>
      </c>
      <c r="F694" s="67" t="inlineStr">
        <is>
          <t>1° Vara da Fazenda Pública</t>
        </is>
      </c>
      <c r="I694" s="67" t="inlineStr"/>
      <c r="J694" s="67" t="inlineStr">
        <is>
          <t>Tarefa</t>
        </is>
      </c>
      <c r="K694" s="62" t="n">
        <v>46052</v>
      </c>
      <c r="L694" s="67" t="inlineStr">
        <is>
          <t>Julia</t>
        </is>
      </c>
      <c r="M694" s="40" t="inlineStr">
        <is>
          <t>Cumprido</t>
        </is>
      </c>
      <c r="N694" s="62" t="n">
        <v>46052</v>
      </c>
      <c r="O694" s="67" t="inlineStr">
        <is>
          <t>Acompanhar AR Ta Loka</t>
        </is>
      </c>
    </row>
    <row r="695">
      <c r="A695" s="40" t="n"/>
      <c r="B695" s="40" t="inlineStr">
        <is>
          <t>Outras</t>
        </is>
      </c>
      <c r="D695" s="67" t="inlineStr">
        <is>
          <t>Renata Francisco Becker</t>
        </is>
      </c>
      <c r="E695" s="62" t="n">
        <v>45876</v>
      </c>
      <c r="I695" s="67" t="inlineStr"/>
      <c r="J695" s="67" t="inlineStr">
        <is>
          <t>Tarefa</t>
        </is>
      </c>
      <c r="K695" s="62" t="n">
        <v>46052</v>
      </c>
      <c r="L695" s="67" t="inlineStr">
        <is>
          <t>Marelize Controladoria</t>
        </is>
      </c>
      <c r="M695" s="40" t="inlineStr">
        <is>
          <t>Cumprido</t>
        </is>
      </c>
      <c r="N695" s="62" t="n">
        <v>46052</v>
      </c>
      <c r="O695" s="67" t="inlineStr">
        <is>
          <t>Fazer tarefas recorrentes de: Olhar E-mails; Conferir prazos no TJs - TJSC - TJRS - TRT12 - TRF4 - JFSC - TJRJ - TJPR - TJPA - TJSP - TJGO;</t>
        </is>
      </c>
    </row>
    <row r="696">
      <c r="A696" s="40" t="inlineStr">
        <is>
          <t>5066015-85.2021.8.24.0000</t>
        </is>
      </c>
      <c r="B696" s="40" t="inlineStr">
        <is>
          <t>Outras</t>
        </is>
      </c>
      <c r="D696" s="67" t="inlineStr">
        <is>
          <t>Renata Francisco Becker</t>
        </is>
      </c>
      <c r="E696" s="62" t="n">
        <v>45982</v>
      </c>
      <c r="F696" s="67" t="inlineStr"/>
      <c r="I696" s="67" t="inlineStr"/>
      <c r="J696" s="67" t="inlineStr">
        <is>
          <t>Tarefa</t>
        </is>
      </c>
      <c r="K696" s="62" t="n">
        <v>46052</v>
      </c>
      <c r="L696" s="67" t="inlineStr">
        <is>
          <t>Luci</t>
        </is>
      </c>
      <c r="M696" s="40" t="inlineStr">
        <is>
          <t>Cumprido</t>
        </is>
      </c>
      <c r="N696" s="62" t="n">
        <v>46052</v>
      </c>
      <c r="O696" s="67" t="inlineStr">
        <is>
          <t>Finalização</t>
        </is>
      </c>
    </row>
    <row r="697">
      <c r="A697" s="40" t="inlineStr">
        <is>
          <t>5023239-05.2024.8.24.0020</t>
        </is>
      </c>
      <c r="B697" s="40" t="inlineStr">
        <is>
          <t>Outras</t>
        </is>
      </c>
      <c r="D697" s="67" t="inlineStr">
        <is>
          <t>Renata Francisco Becker</t>
        </is>
      </c>
      <c r="E697" s="62" t="n">
        <v>45538</v>
      </c>
      <c r="F697" s="67" t="inlineStr">
        <is>
          <t>familia</t>
        </is>
      </c>
      <c r="I697" s="67" t="inlineStr">
        <is>
          <t>5005033-40.2024.8.24.0020</t>
        </is>
      </c>
      <c r="J697" s="67" t="inlineStr">
        <is>
          <t>Tarefa</t>
        </is>
      </c>
      <c r="K697" s="62" t="n">
        <v>46052</v>
      </c>
      <c r="L697" s="67" t="inlineStr">
        <is>
          <t>Julia</t>
        </is>
      </c>
      <c r="M697" s="40" t="inlineStr">
        <is>
          <t>Cumprido</t>
        </is>
      </c>
      <c r="N697" s="62" t="n">
        <v>46052</v>
      </c>
      <c r="O697" s="67" t="inlineStr">
        <is>
          <t>Monitorar links de assinaturas enviadas das intimações. Juntar depois que eles assinarem.</t>
        </is>
      </c>
    </row>
    <row r="698">
      <c r="A698" s="40" t="inlineStr">
        <is>
          <t>5025138-63.2023.8.24.0023</t>
        </is>
      </c>
      <c r="B698" s="40" t="inlineStr">
        <is>
          <t>Outras</t>
        </is>
      </c>
      <c r="D698" s="67" t="inlineStr">
        <is>
          <t>Renata Francisco Becker</t>
        </is>
      </c>
      <c r="E698" s="62" t="n">
        <v>45939</v>
      </c>
      <c r="F698" s="67" t="inlineStr"/>
      <c r="I698" s="67" t="inlineStr">
        <is>
          <t>5003068-76.2019.8.24.0028</t>
        </is>
      </c>
      <c r="J698" s="67" t="inlineStr">
        <is>
          <t>Tarefa</t>
        </is>
      </c>
      <c r="K698" s="62" t="n">
        <v>46052</v>
      </c>
      <c r="L698" s="67" t="inlineStr">
        <is>
          <t xml:space="preserve">Alexia </t>
        </is>
      </c>
      <c r="M698" s="40" t="inlineStr">
        <is>
          <t>Cumprido</t>
        </is>
      </c>
      <c r="N698" s="62" t="n">
        <v>46052</v>
      </c>
      <c r="O698" s="67" t="inlineStr">
        <is>
          <t>Protocolo</t>
        </is>
      </c>
    </row>
    <row r="699">
      <c r="A699" s="40" t="inlineStr">
        <is>
          <t>5025139-48.2023.8.24.0023</t>
        </is>
      </c>
      <c r="B699" s="40" t="inlineStr">
        <is>
          <t>Outras</t>
        </is>
      </c>
      <c r="D699" s="67" t="inlineStr">
        <is>
          <t>Renata Francisco Becker</t>
        </is>
      </c>
      <c r="E699" s="62" t="n">
        <v>45939</v>
      </c>
      <c r="F699" s="67" t="inlineStr"/>
      <c r="I699" s="67" t="inlineStr">
        <is>
          <t>5069978-85.2025.8.24.0930</t>
        </is>
      </c>
      <c r="J699" s="67" t="inlineStr">
        <is>
          <t>Tarefa</t>
        </is>
      </c>
      <c r="K699" s="62" t="n">
        <v>46052</v>
      </c>
      <c r="L699" s="67" t="inlineStr">
        <is>
          <t>Jessica</t>
        </is>
      </c>
      <c r="M699" s="40" t="inlineStr">
        <is>
          <t>Cumprido</t>
        </is>
      </c>
      <c r="N699" s="62" t="n">
        <v>46052</v>
      </c>
      <c r="O699" s="67" t="inlineStr">
        <is>
          <t>Protocolo</t>
        </is>
      </c>
    </row>
    <row r="700">
      <c r="A700" s="40" t="inlineStr">
        <is>
          <t>0002156-50.2020.8.16.0159</t>
        </is>
      </c>
      <c r="B700" s="40" t="inlineStr">
        <is>
          <t>Outras</t>
        </is>
      </c>
      <c r="D700" s="67" t="inlineStr">
        <is>
          <t>Renata Francisco Becker</t>
        </is>
      </c>
      <c r="E700" s="62" t="n">
        <v>44956</v>
      </c>
      <c r="F700" s="67" t="inlineStr">
        <is>
          <t>Juizado Especial Cível de São Miguel do Iguaçu</t>
        </is>
      </c>
      <c r="I700" s="67" t="inlineStr">
        <is>
          <t>5025747-21.2024.8.24.0020</t>
        </is>
      </c>
      <c r="J700" s="67" t="inlineStr">
        <is>
          <t>Tarefa</t>
        </is>
      </c>
      <c r="K700" s="62" t="n">
        <v>46052</v>
      </c>
      <c r="L700" s="67" t="inlineStr">
        <is>
          <t>Julia</t>
        </is>
      </c>
      <c r="M700" s="40" t="inlineStr">
        <is>
          <t>Cumprido</t>
        </is>
      </c>
      <c r="N700" s="62" t="n">
        <v>46052</v>
      </c>
      <c r="O700" s="67" t="inlineStr">
        <is>
          <t>Verificar se a Débora assinou pelo link</t>
        </is>
      </c>
    </row>
    <row r="701">
      <c r="A701" s="40" t="inlineStr">
        <is>
          <t>5033221-91.2025.4.04.7200</t>
        </is>
      </c>
      <c r="B701" s="40" t="inlineStr">
        <is>
          <t>Outras</t>
        </is>
      </c>
      <c r="D701" s="67" t="inlineStr">
        <is>
          <t>Pedro Victor</t>
        </is>
      </c>
      <c r="E701" s="62" t="n">
        <v>45904</v>
      </c>
      <c r="F701" s="67" t="inlineStr">
        <is>
          <t>Juízo Substituto da 3ª Unidade de Apoio em Execução Fiscal (PRCTB19)</t>
        </is>
      </c>
      <c r="I701" s="67" t="inlineStr"/>
      <c r="J701" s="67" t="inlineStr">
        <is>
          <t>Evento</t>
        </is>
      </c>
      <c r="K701" s="62" t="n">
        <v>46052</v>
      </c>
      <c r="L701" s="67" t="inlineStr">
        <is>
          <t>Pedro Victor</t>
        </is>
      </c>
      <c r="M701" s="40" t="inlineStr">
        <is>
          <t>Cumprido</t>
        </is>
      </c>
      <c r="N701" s="62" t="n">
        <v>46052</v>
      </c>
      <c r="O701" s="67" t="inlineStr">
        <is>
          <t>Atendimento Caso Valentina ( parceria Back)</t>
        </is>
      </c>
    </row>
    <row r="702">
      <c r="A702" s="40" t="inlineStr">
        <is>
          <t>0000892-65.2025.5.12.0003</t>
        </is>
      </c>
      <c r="B702" s="40" t="inlineStr">
        <is>
          <t>Outras</t>
        </is>
      </c>
      <c r="D702" s="67" t="inlineStr">
        <is>
          <t>Luci</t>
        </is>
      </c>
      <c r="E702" s="62" t="n">
        <v>45842</v>
      </c>
      <c r="F702" s="67" t="inlineStr">
        <is>
          <t>1ª VARA DO TRABALHO DE CRICIÚMA</t>
        </is>
      </c>
      <c r="I702" s="67" t="inlineStr">
        <is>
          <t>54649624320238090067</t>
        </is>
      </c>
      <c r="J702" s="67" t="inlineStr">
        <is>
          <t>Prazo</t>
        </is>
      </c>
      <c r="K702" s="62" t="n">
        <v>46055</v>
      </c>
      <c r="L702" s="67" t="inlineStr">
        <is>
          <t>Marelize Controladoria</t>
        </is>
      </c>
      <c r="M702" s="40" t="inlineStr">
        <is>
          <t>Cumprido</t>
        </is>
      </c>
      <c r="N702" s="62" t="n">
        <v>46055</v>
      </c>
      <c r="O702" s="67" t="inlineStr">
        <is>
          <t>Iniciar cumprimento de sentença - aguardar transito em julgado.</t>
        </is>
      </c>
    </row>
    <row r="703">
      <c r="A703" s="40" t="inlineStr">
        <is>
          <t>0000603-79.2018.5.12.0003</t>
        </is>
      </c>
      <c r="B703" s="40" t="inlineStr">
        <is>
          <t>Outras</t>
        </is>
      </c>
      <c r="D703" s="67" t="inlineStr">
        <is>
          <t>Renata Francisco Becker</t>
        </is>
      </c>
      <c r="E703" s="62" t="n">
        <v>44774</v>
      </c>
      <c r="F703" s="67" t="inlineStr">
        <is>
          <t>Secretaria de Execução</t>
        </is>
      </c>
      <c r="I703" s="67" t="inlineStr">
        <is>
          <t>5000887-73.2024.8.24.0175</t>
        </is>
      </c>
      <c r="J703" s="67" t="inlineStr">
        <is>
          <t>Prazo</t>
        </is>
      </c>
      <c r="K703" s="62" t="n">
        <v>46055</v>
      </c>
      <c r="L703" s="67" t="inlineStr">
        <is>
          <t>Renata Francisco Becker</t>
        </is>
      </c>
      <c r="M703" s="40" t="inlineStr">
        <is>
          <t>Cumprido</t>
        </is>
      </c>
      <c r="N703" s="62" t="n">
        <v>46055</v>
      </c>
      <c r="O703" s="67" t="inlineStr">
        <is>
          <t xml:space="preserve">Prazo </t>
        </is>
      </c>
    </row>
    <row r="704">
      <c r="A704" s="40" t="inlineStr">
        <is>
          <t>0000545-33.2020.5.12.0027</t>
        </is>
      </c>
      <c r="B704" s="40" t="inlineStr">
        <is>
          <t>Outras</t>
        </is>
      </c>
      <c r="D704" s="67" t="inlineStr">
        <is>
          <t>Renata Francisco Becker</t>
        </is>
      </c>
      <c r="E704" s="62" t="n">
        <v>45373</v>
      </c>
      <c r="F704" s="67" t="inlineStr">
        <is>
          <t>2ª VARA DO TRABALHO DE CRICIÚMA</t>
        </is>
      </c>
      <c r="I704" s="67" t="inlineStr">
        <is>
          <t>5007011-18.2025.8.24.0020</t>
        </is>
      </c>
      <c r="J704" s="67" t="inlineStr">
        <is>
          <t>Prazo</t>
        </is>
      </c>
      <c r="K704" s="62" t="n">
        <v>46055</v>
      </c>
      <c r="L704" s="67" t="inlineStr">
        <is>
          <t>Renata Francisco Becker</t>
        </is>
      </c>
      <c r="M704" s="40" t="inlineStr">
        <is>
          <t>Cumprido</t>
        </is>
      </c>
      <c r="N704" s="62" t="n">
        <v>46055</v>
      </c>
      <c r="O704" s="67" t="inlineStr">
        <is>
          <t xml:space="preserve">prazo </t>
        </is>
      </c>
    </row>
    <row r="705">
      <c r="A705" s="40" t="inlineStr">
        <is>
          <t>5006319-36.2018.4.04.7204</t>
        </is>
      </c>
      <c r="B705" s="40" t="inlineStr">
        <is>
          <t>Outras</t>
        </is>
      </c>
      <c r="D705" s="67" t="inlineStr">
        <is>
          <t>Renata Francisco Becker</t>
        </is>
      </c>
      <c r="E705" s="62" t="n">
        <v>44741</v>
      </c>
      <c r="F705" s="67" t="inlineStr">
        <is>
          <t>Juízo Substituto da 4ª VF de Criciúma</t>
        </is>
      </c>
      <c r="I705" s="67" t="inlineStr">
        <is>
          <t>5003677-49.2025.8.24.0028</t>
        </is>
      </c>
      <c r="J705" s="67" t="inlineStr">
        <is>
          <t>Prazo</t>
        </is>
      </c>
      <c r="K705" s="62" t="n">
        <v>46055</v>
      </c>
      <c r="L705" s="67" t="inlineStr">
        <is>
          <t>Renata Francisco Becker</t>
        </is>
      </c>
      <c r="M705" s="40" t="inlineStr">
        <is>
          <t>Cumprido</t>
        </is>
      </c>
      <c r="N705" s="62" t="n">
        <v>46055</v>
      </c>
      <c r="O705" s="67" t="inlineStr">
        <is>
          <t>Prazo apresentar provas</t>
        </is>
      </c>
    </row>
    <row r="706">
      <c r="A706" s="40" t="inlineStr">
        <is>
          <t>0000429-90.2021.5.12.0027</t>
        </is>
      </c>
      <c r="B706" s="40" t="inlineStr">
        <is>
          <t>Outras</t>
        </is>
      </c>
      <c r="D706" s="67" t="inlineStr">
        <is>
          <t>Renata Francisco Becker</t>
        </is>
      </c>
      <c r="E706" s="62" t="n">
        <v>44701</v>
      </c>
      <c r="F706" s="67" t="inlineStr">
        <is>
          <t>2ª Vara Do Trabalho De Criciuma</t>
        </is>
      </c>
      <c r="I706" s="67" t="inlineStr">
        <is>
          <t>50040912320268240930</t>
        </is>
      </c>
      <c r="J706" s="67" t="inlineStr">
        <is>
          <t>Prazo</t>
        </is>
      </c>
      <c r="K706" s="62" t="n">
        <v>46055</v>
      </c>
      <c r="L706" s="67" t="inlineStr">
        <is>
          <t xml:space="preserve">Alexia </t>
        </is>
      </c>
      <c r="M706" s="40" t="inlineStr">
        <is>
          <t>Cumprido</t>
        </is>
      </c>
      <c r="N706" s="62" t="n">
        <v>46055</v>
      </c>
      <c r="O706" s="67" t="inlineStr">
        <is>
          <t>Prazo Decisão Embargos - urgente</t>
        </is>
      </c>
    </row>
    <row r="707">
      <c r="A707" s="40" t="inlineStr">
        <is>
          <t>5006321-06.2018.4.04.7204</t>
        </is>
      </c>
      <c r="B707" s="40" t="inlineStr">
        <is>
          <t>Outras</t>
        </is>
      </c>
      <c r="D707" s="67" t="inlineStr">
        <is>
          <t>Renata Francisco Becker</t>
        </is>
      </c>
      <c r="E707" s="62" t="n">
        <v>44719</v>
      </c>
      <c r="F707" s="67" t="inlineStr">
        <is>
          <t>Juízo Federal da 4ª VF de Criciúma</t>
        </is>
      </c>
      <c r="I707" s="67" t="inlineStr">
        <is>
          <t>5011063-57.2016.4.04.7200</t>
        </is>
      </c>
      <c r="J707" s="67" t="inlineStr">
        <is>
          <t>Prazo</t>
        </is>
      </c>
      <c r="K707" s="62" t="n">
        <v>46055</v>
      </c>
      <c r="L707" s="67" t="inlineStr">
        <is>
          <t>Renata Francisco Becker</t>
        </is>
      </c>
      <c r="M707" s="40" t="inlineStr">
        <is>
          <t>Cumprido</t>
        </is>
      </c>
      <c r="N707" s="62" t="n">
        <v>46055</v>
      </c>
      <c r="O707" s="67" t="inlineStr">
        <is>
          <t>Prazo Embargos de Terceiro</t>
        </is>
      </c>
    </row>
    <row r="708">
      <c r="A708" s="40" t="inlineStr">
        <is>
          <t>5010660-37.2020.4.04.7204</t>
        </is>
      </c>
      <c r="B708" s="40" t="inlineStr">
        <is>
          <t>Outras</t>
        </is>
      </c>
      <c r="D708" s="67" t="inlineStr">
        <is>
          <t>Renata Francisco Becker</t>
        </is>
      </c>
      <c r="E708" s="62" t="n">
        <v>44707</v>
      </c>
      <c r="F708" s="67" t="inlineStr">
        <is>
          <t>Juízo Federal da 4ª VF de Criciúma</t>
        </is>
      </c>
      <c r="I708" s="67" t="inlineStr">
        <is>
          <t>5031701-14.2025.8.24.0020</t>
        </is>
      </c>
      <c r="J708" s="67" t="inlineStr">
        <is>
          <t>Prazo</t>
        </is>
      </c>
      <c r="K708" s="62" t="n">
        <v>46055</v>
      </c>
      <c r="L708" s="67" t="inlineStr">
        <is>
          <t>Renata Francisco Becker</t>
        </is>
      </c>
      <c r="M708" s="40" t="inlineStr">
        <is>
          <t>Cumprido</t>
        </is>
      </c>
      <c r="N708" s="62" t="n">
        <v>46055</v>
      </c>
      <c r="O708" s="67" t="inlineStr">
        <is>
          <t>Prazo emenda TEC POWER</t>
        </is>
      </c>
    </row>
    <row r="709">
      <c r="A709" s="40" t="inlineStr">
        <is>
          <t>5006047-42.2018.4.04.7204</t>
        </is>
      </c>
      <c r="B709" s="40" t="inlineStr">
        <is>
          <t>Outras</t>
        </is>
      </c>
      <c r="D709" s="67" t="inlineStr">
        <is>
          <t>Renata Francisco Becker</t>
        </is>
      </c>
      <c r="E709" s="62" t="n">
        <v>44715</v>
      </c>
      <c r="F709" s="67" t="inlineStr">
        <is>
          <t>Juízo Federal da 4ª VF de Criciúma</t>
        </is>
      </c>
      <c r="I709" s="67" t="inlineStr">
        <is>
          <t>40013348420268260100</t>
        </is>
      </c>
      <c r="J709" s="67" t="inlineStr">
        <is>
          <t>Prazo</t>
        </is>
      </c>
      <c r="K709" s="62" t="n">
        <v>46055</v>
      </c>
      <c r="L709" s="67" t="inlineStr">
        <is>
          <t>Renata Francisco Becker</t>
        </is>
      </c>
      <c r="M709" s="40" t="inlineStr">
        <is>
          <t>Cumprido</t>
        </is>
      </c>
      <c r="N709" s="62" t="n">
        <v>46055</v>
      </c>
      <c r="O709" s="67" t="inlineStr">
        <is>
          <t>prazo Guia oficial de justiça</t>
        </is>
      </c>
    </row>
    <row r="710">
      <c r="A710" s="40" t="inlineStr">
        <is>
          <t>5007279-79.2024.4.04.7204</t>
        </is>
      </c>
      <c r="B710" s="40" t="inlineStr">
        <is>
          <t>Outras</t>
        </is>
      </c>
      <c r="D710" s="67" t="inlineStr">
        <is>
          <t>Renata Francisco Becker</t>
        </is>
      </c>
      <c r="E710" s="62" t="n">
        <v>45559</v>
      </c>
      <c r="F710" s="67" t="inlineStr">
        <is>
          <t>Juízo Substituto da 4ª VF de Criciúma</t>
        </is>
      </c>
      <c r="I710" s="67" t="inlineStr">
        <is>
          <t>5029750-82.2025.8.24.0020</t>
        </is>
      </c>
      <c r="J710" s="67" t="inlineStr">
        <is>
          <t>Tarefa</t>
        </is>
      </c>
      <c r="K710" s="62" t="n">
        <v>46055</v>
      </c>
      <c r="L710" s="67" t="inlineStr">
        <is>
          <t>Luci</t>
        </is>
      </c>
      <c r="M710" s="40" t="inlineStr">
        <is>
          <t>Cumprido</t>
        </is>
      </c>
      <c r="N710" s="62" t="n">
        <v>46055</v>
      </c>
      <c r="O710" s="67" t="inlineStr">
        <is>
          <t>Elaboração</t>
        </is>
      </c>
    </row>
    <row r="711">
      <c r="A711" s="40" t="inlineStr">
        <is>
          <t>5093040-34.2025.8.24.0000</t>
        </is>
      </c>
      <c r="B711" s="40" t="inlineStr">
        <is>
          <t>Outras</t>
        </is>
      </c>
      <c r="D711" s="67" t="inlineStr">
        <is>
          <t>Renata Francisco Becker</t>
        </is>
      </c>
      <c r="E711" s="62" t="n">
        <v>45971</v>
      </c>
      <c r="F711" s="67" t="inlineStr">
        <is>
          <t>6ª Câmara de Direito Civil</t>
        </is>
      </c>
      <c r="I711" s="67" t="inlineStr">
        <is>
          <t>5019657-60.2025.8.24.0020</t>
        </is>
      </c>
      <c r="J711" s="67" t="inlineStr">
        <is>
          <t>Tarefa</t>
        </is>
      </c>
      <c r="K711" s="62" t="n">
        <v>46055</v>
      </c>
      <c r="L711" s="67" t="inlineStr">
        <is>
          <t>Renata Francisco Becker</t>
        </is>
      </c>
      <c r="M711" s="40" t="inlineStr">
        <is>
          <t>Cumprido</t>
        </is>
      </c>
      <c r="N711" s="62" t="n">
        <v>46055</v>
      </c>
      <c r="O711" s="67" t="inlineStr">
        <is>
          <t>Protocolo</t>
        </is>
      </c>
    </row>
    <row r="712">
      <c r="A712" s="40" t="inlineStr">
        <is>
          <t>5028174-54.2025.8.24.0020</t>
        </is>
      </c>
      <c r="B712" s="40" t="inlineStr">
        <is>
          <t>Outras</t>
        </is>
      </c>
      <c r="D712" s="67" t="inlineStr">
        <is>
          <t>Renata Francisco Becker</t>
        </is>
      </c>
      <c r="E712" s="62" t="n">
        <v>45967</v>
      </c>
      <c r="F712" s="67" t="inlineStr"/>
      <c r="I712" s="67" t="inlineStr">
        <is>
          <t>50201478220258240020</t>
        </is>
      </c>
      <c r="J712" s="67" t="inlineStr">
        <is>
          <t>Tarefa</t>
        </is>
      </c>
      <c r="K712" s="62" t="n">
        <v>46055</v>
      </c>
      <c r="L712" s="67" t="inlineStr">
        <is>
          <t>Renata Francisco Becker</t>
        </is>
      </c>
      <c r="M712" s="40" t="inlineStr">
        <is>
          <t>Cumprido</t>
        </is>
      </c>
      <c r="N712" s="62" t="n">
        <v>46055</v>
      </c>
      <c r="O712" s="67" t="inlineStr">
        <is>
          <t>02/02/2026 - emitir guia e encaminhar</t>
        </is>
      </c>
    </row>
    <row r="713">
      <c r="A713" s="40" t="inlineStr">
        <is>
          <t>5010098-52.2025.4.04.7204</t>
        </is>
      </c>
      <c r="B713" s="40" t="inlineStr">
        <is>
          <t>Outras</t>
        </is>
      </c>
      <c r="D713" s="67" t="inlineStr">
        <is>
          <t>Renata Francisco Becker</t>
        </is>
      </c>
      <c r="E713" s="62" t="n">
        <v>45932</v>
      </c>
      <c r="F713" s="67" t="inlineStr">
        <is>
          <t>2° VF</t>
        </is>
      </c>
      <c r="I713" s="67" t="inlineStr">
        <is>
          <t>5010580-75.2025.8.24.0004</t>
        </is>
      </c>
      <c r="J713" s="67" t="inlineStr">
        <is>
          <t>Tarefa</t>
        </is>
      </c>
      <c r="K713" s="62" t="n">
        <v>46055</v>
      </c>
      <c r="L713" s="67" t="inlineStr">
        <is>
          <t>Renata Francisco Becker</t>
        </is>
      </c>
      <c r="M713" s="40" t="inlineStr">
        <is>
          <t>Cumprido</t>
        </is>
      </c>
      <c r="N713" s="62" t="n">
        <v>46055</v>
      </c>
      <c r="O713" s="67" t="inlineStr">
        <is>
          <t xml:space="preserve">Protocolo </t>
        </is>
      </c>
    </row>
    <row r="714">
      <c r="A714" s="40" t="inlineStr">
        <is>
          <t>00100940620108240004</t>
        </is>
      </c>
      <c r="B714" s="40" t="inlineStr">
        <is>
          <t>Outras</t>
        </is>
      </c>
      <c r="D714" s="67" t="inlineStr">
        <is>
          <t>Renata Francisco Becker</t>
        </is>
      </c>
      <c r="E714" s="62" t="n">
        <v>45755</v>
      </c>
      <c r="F714" s="67" t="inlineStr">
        <is>
          <t>Vara Cível</t>
        </is>
      </c>
      <c r="I714" s="67" t="inlineStr">
        <is>
          <t>5260623-93.2023.8.21.0001</t>
        </is>
      </c>
      <c r="J714" s="67" t="inlineStr">
        <is>
          <t>Tarefa</t>
        </is>
      </c>
      <c r="K714" s="62" t="n">
        <v>46055</v>
      </c>
      <c r="L714" s="67" t="inlineStr">
        <is>
          <t>Renata Francisco Becker</t>
        </is>
      </c>
      <c r="M714" s="40" t="inlineStr">
        <is>
          <t>Cumprido</t>
        </is>
      </c>
      <c r="N714" s="62" t="n">
        <v>46055</v>
      </c>
      <c r="O714" s="67" t="inlineStr">
        <is>
          <t>Revisão</t>
        </is>
      </c>
    </row>
    <row r="715">
      <c r="A715" s="40" t="inlineStr">
        <is>
          <t>5006427-77.2025.8.24.0075</t>
        </is>
      </c>
      <c r="B715" s="40" t="inlineStr">
        <is>
          <t>Outras</t>
        </is>
      </c>
      <c r="D715" s="67" t="inlineStr">
        <is>
          <t>Renata Francisco Becker</t>
        </is>
      </c>
      <c r="E715" s="62" t="n">
        <v>45786</v>
      </c>
      <c r="F715" s="67" t="inlineStr">
        <is>
          <t>Fazenda Publica</t>
        </is>
      </c>
      <c r="I715" s="67" t="inlineStr">
        <is>
          <t>5007226-28.2024.8.24.0020</t>
        </is>
      </c>
      <c r="J715" s="67" t="inlineStr">
        <is>
          <t>Tarefa</t>
        </is>
      </c>
      <c r="K715" s="62" t="n">
        <v>46055</v>
      </c>
      <c r="L715" s="67" t="inlineStr">
        <is>
          <t>Renata Francisco Becker</t>
        </is>
      </c>
      <c r="M715" s="40" t="inlineStr">
        <is>
          <t>Cumprido</t>
        </is>
      </c>
      <c r="N715" s="62" t="n">
        <v>46055</v>
      </c>
      <c r="O715" s="67" t="inlineStr">
        <is>
          <t>Revisão</t>
        </is>
      </c>
    </row>
    <row r="716">
      <c r="A716" s="40" t="inlineStr">
        <is>
          <t>00241534320138240020</t>
        </is>
      </c>
      <c r="B716" s="40" t="inlineStr">
        <is>
          <t>Outras</t>
        </is>
      </c>
      <c r="D716" s="67" t="inlineStr">
        <is>
          <t>Pedro Victor</t>
        </is>
      </c>
      <c r="E716" s="62" t="n">
        <v>45225</v>
      </c>
      <c r="F716" s="67" t="inlineStr">
        <is>
          <t>19º Juízo da Unidade Estadual de Direito Bancário</t>
        </is>
      </c>
      <c r="I716" s="67" t="inlineStr">
        <is>
          <t>5007226-28.2024.8.24.0020</t>
        </is>
      </c>
      <c r="J716" s="67" t="inlineStr">
        <is>
          <t>Tarefa</t>
        </is>
      </c>
      <c r="K716" s="62" t="n">
        <v>46055</v>
      </c>
      <c r="L716" s="67" t="inlineStr">
        <is>
          <t>Renata Francisco Becker</t>
        </is>
      </c>
      <c r="M716" s="40" t="inlineStr">
        <is>
          <t>Cumprido</t>
        </is>
      </c>
      <c r="N716" s="62" t="n">
        <v>46055</v>
      </c>
      <c r="O716" s="67" t="inlineStr">
        <is>
          <t>Revisão</t>
        </is>
      </c>
    </row>
    <row r="717">
      <c r="A717" s="40" t="inlineStr">
        <is>
          <t>5021525-73.2025.8.24.0020</t>
        </is>
      </c>
      <c r="B717" s="40" t="inlineStr">
        <is>
          <t>Outras</t>
        </is>
      </c>
      <c r="D717" s="67" t="inlineStr">
        <is>
          <t>Renata Francisco Becker</t>
        </is>
      </c>
      <c r="E717" s="62" t="n">
        <v>45915</v>
      </c>
      <c r="F717" s="67" t="inlineStr">
        <is>
          <t>Vara Cível</t>
        </is>
      </c>
      <c r="I717" s="67" t="inlineStr"/>
      <c r="J717" s="67" t="inlineStr">
        <is>
          <t>Tarefa</t>
        </is>
      </c>
      <c r="K717" s="62" t="n">
        <v>46055</v>
      </c>
      <c r="L717" s="67" t="inlineStr">
        <is>
          <t>Marelize Controladoria</t>
        </is>
      </c>
      <c r="M717" s="40" t="inlineStr">
        <is>
          <t>Cumprido</t>
        </is>
      </c>
      <c r="N717" s="62" t="n">
        <v>46055</v>
      </c>
      <c r="O717" s="67" t="inlineStr">
        <is>
          <t>02/02/2026 - Conferir prazos no TJs - TJSC - TJRS - TRT12 - TRF4 - JFSC - TJRJ - TJPR - TJPA - TJSP - TJGO;</t>
        </is>
      </c>
    </row>
    <row r="718">
      <c r="A718" s="40" t="inlineStr">
        <is>
          <t>0001733-27.2013.5.12.0053</t>
        </is>
      </c>
      <c r="B718" s="40" t="inlineStr">
        <is>
          <t>Outras</t>
        </is>
      </c>
      <c r="D718" s="67" t="inlineStr">
        <is>
          <t>Renata Francisco Becker</t>
        </is>
      </c>
      <c r="E718" s="62" t="n">
        <v>44704</v>
      </c>
      <c r="F718" s="67" t="inlineStr">
        <is>
          <t>3ª VARA DO TRABALHO DE CRICIÚMA</t>
        </is>
      </c>
      <c r="I718" s="67" t="inlineStr"/>
      <c r="J718" s="67" t="inlineStr">
        <is>
          <t>Tarefa</t>
        </is>
      </c>
      <c r="K718" s="62" t="n">
        <v>46055</v>
      </c>
      <c r="L718" s="67" t="inlineStr">
        <is>
          <t>Marelize Controladoria</t>
        </is>
      </c>
      <c r="M718" s="40" t="inlineStr">
        <is>
          <t>Cumprido</t>
        </is>
      </c>
      <c r="N718" s="62" t="n">
        <v>46055</v>
      </c>
      <c r="O718" s="67" t="inlineStr">
        <is>
          <t>02/02/2026 - Fazer Agendas.</t>
        </is>
      </c>
    </row>
    <row r="719">
      <c r="A719" s="40" t="inlineStr">
        <is>
          <t>5023015-38.2022.8.24.0020</t>
        </is>
      </c>
      <c r="B719" s="40" t="inlineStr">
        <is>
          <t>Outras</t>
        </is>
      </c>
      <c r="D719" s="67" t="inlineStr">
        <is>
          <t>Renata Francisco Becker</t>
        </is>
      </c>
      <c r="E719" s="62" t="n">
        <v>44874</v>
      </c>
      <c r="F719" s="67" t="inlineStr"/>
      <c r="I719" s="67" t="inlineStr"/>
      <c r="J719" s="67" t="inlineStr">
        <is>
          <t>Tarefa</t>
        </is>
      </c>
      <c r="K719" s="62" t="n">
        <v>46055</v>
      </c>
      <c r="L719" s="67" t="inlineStr">
        <is>
          <t>Marelize Controladoria</t>
        </is>
      </c>
      <c r="M719" s="40" t="inlineStr">
        <is>
          <t>Cumprido</t>
        </is>
      </c>
      <c r="N719" s="62" t="n">
        <v>46055</v>
      </c>
      <c r="O719" s="67" t="inlineStr">
        <is>
          <t>02/02/2026 - Fazer Publicações.</t>
        </is>
      </c>
    </row>
    <row r="720">
      <c r="A720" s="40" t="n"/>
      <c r="B720" s="40" t="inlineStr">
        <is>
          <t>Outras</t>
        </is>
      </c>
      <c r="D720" s="67" t="inlineStr">
        <is>
          <t>Luci</t>
        </is>
      </c>
      <c r="E720" s="62" t="n">
        <v>45979</v>
      </c>
      <c r="I720" s="67" t="inlineStr"/>
      <c r="J720" s="67" t="inlineStr">
        <is>
          <t>Tarefa</t>
        </is>
      </c>
      <c r="K720" s="62" t="n">
        <v>46055</v>
      </c>
      <c r="L720" s="67" t="inlineStr">
        <is>
          <t>Marelize Controladoria</t>
        </is>
      </c>
      <c r="M720" s="40" t="inlineStr">
        <is>
          <t>Cumprido</t>
        </is>
      </c>
      <c r="N720" s="62" t="n">
        <v>46055</v>
      </c>
      <c r="O720" s="67" t="inlineStr">
        <is>
          <t>02/02/2026 - Olhar E-mails.</t>
        </is>
      </c>
    </row>
    <row r="721">
      <c r="A721" s="40" t="inlineStr">
        <is>
          <t>5013588-92.2019.4.04.7204</t>
        </is>
      </c>
      <c r="B721" s="40" t="inlineStr">
        <is>
          <t>Outras</t>
        </is>
      </c>
      <c r="D721" s="67" t="inlineStr">
        <is>
          <t>Renata Francisco Becker</t>
        </is>
      </c>
      <c r="E721" s="62" t="n">
        <v>44802</v>
      </c>
      <c r="F721" s="67" t="inlineStr">
        <is>
          <t>Juízo Federal da 1ª VF de Tubarão</t>
        </is>
      </c>
      <c r="I721" s="67" t="inlineStr"/>
      <c r="J721" s="67" t="inlineStr">
        <is>
          <t>Tarefa</t>
        </is>
      </c>
      <c r="K721" s="62" t="n">
        <v>46055</v>
      </c>
      <c r="L721" s="67" t="inlineStr">
        <is>
          <t>Pedro Victor</t>
        </is>
      </c>
      <c r="M721" s="40" t="inlineStr">
        <is>
          <t>Cumprido</t>
        </is>
      </c>
      <c r="N721" s="62" t="n">
        <v>46055</v>
      </c>
      <c r="O721" s="67" t="inlineStr">
        <is>
          <t>Abrir grupo no Whatsapp da empresa</t>
        </is>
      </c>
    </row>
    <row r="722">
      <c r="A722" s="40" t="inlineStr">
        <is>
          <t>5021566-40.2025.8.24.0020</t>
        </is>
      </c>
      <c r="B722" s="40" t="inlineStr">
        <is>
          <t>Outras</t>
        </is>
      </c>
      <c r="D722" s="67" t="inlineStr">
        <is>
          <t>Renata Francisco Becker</t>
        </is>
      </c>
      <c r="E722" s="62" t="n">
        <v>45905</v>
      </c>
      <c r="F722" s="67" t="inlineStr">
        <is>
          <t>Juizado Especial Cível</t>
        </is>
      </c>
      <c r="I722" s="67" t="inlineStr">
        <is>
          <t>0323800-69.2005.5.12.0027</t>
        </is>
      </c>
      <c r="J722" s="67" t="inlineStr">
        <is>
          <t>Tarefa</t>
        </is>
      </c>
      <c r="K722" s="62" t="n">
        <v>46055</v>
      </c>
      <c r="L722" s="67" t="inlineStr">
        <is>
          <t>Marelize Controladoria</t>
        </is>
      </c>
      <c r="M722" s="40" t="inlineStr">
        <is>
          <t>Cumprido</t>
        </is>
      </c>
      <c r="N722" s="62" t="n">
        <v>46055</v>
      </c>
      <c r="O722" s="67" t="inlineStr">
        <is>
          <t xml:space="preserve">Analisar efeitos no Inventário </t>
        </is>
      </c>
    </row>
    <row r="723">
      <c r="A723" s="40" t="n"/>
      <c r="B723" s="40" t="inlineStr">
        <is>
          <t>Outras</t>
        </is>
      </c>
      <c r="D723" s="67" t="inlineStr">
        <is>
          <t>Luci</t>
        </is>
      </c>
      <c r="E723" s="62" t="n">
        <v>45973</v>
      </c>
      <c r="I723" s="67" t="inlineStr">
        <is>
          <t>0000676-07.2025.5.12.0003</t>
        </is>
      </c>
      <c r="J723" s="67" t="inlineStr">
        <is>
          <t>Tarefa</t>
        </is>
      </c>
      <c r="K723" s="62" t="n">
        <v>46055</v>
      </c>
      <c r="L723" s="67" t="inlineStr">
        <is>
          <t>Renata Francisco Becker</t>
        </is>
      </c>
      <c r="M723" s="40" t="inlineStr">
        <is>
          <t>Cumprido</t>
        </is>
      </c>
      <c r="N723" s="62" t="n">
        <v>46055</v>
      </c>
      <c r="O723" s="67" t="inlineStr">
        <is>
          <t>Anotar na agenda física.</t>
        </is>
      </c>
    </row>
    <row r="724">
      <c r="A724" s="40" t="inlineStr">
        <is>
          <t>5000347-18.2025.8.24.0166</t>
        </is>
      </c>
      <c r="B724" s="40" t="inlineStr">
        <is>
          <t>Outras</t>
        </is>
      </c>
      <c r="D724" s="67" t="inlineStr">
        <is>
          <t>Renata Francisco Becker</t>
        </is>
      </c>
      <c r="E724" s="62" t="n">
        <v>45713</v>
      </c>
      <c r="F724" s="67" t="inlineStr">
        <is>
          <t>Juízo da Vara Única da Comarca de Forquilhinha</t>
        </is>
      </c>
      <c r="I724" s="67" t="inlineStr">
        <is>
          <t>0000676-07.2025.5.12.0003</t>
        </is>
      </c>
      <c r="J724" s="67" t="inlineStr">
        <is>
          <t>Tarefa</t>
        </is>
      </c>
      <c r="K724" s="62" t="n">
        <v>46055</v>
      </c>
      <c r="L724" s="67" t="inlineStr">
        <is>
          <t>Marelize Controladoria</t>
        </is>
      </c>
      <c r="M724" s="40" t="inlineStr">
        <is>
          <t>Cumprido</t>
        </is>
      </c>
      <c r="N724" s="62" t="n">
        <v>46055</v>
      </c>
      <c r="O724" s="67" t="inlineStr">
        <is>
          <t>Avisar cliente da audiencia.</t>
        </is>
      </c>
    </row>
    <row r="725">
      <c r="A725" s="40" t="inlineStr">
        <is>
          <t>5013115-60.2024.8.24.0020</t>
        </is>
      </c>
      <c r="B725" s="40" t="inlineStr">
        <is>
          <t>Outras</t>
        </is>
      </c>
      <c r="D725" s="67" t="inlineStr">
        <is>
          <t>Renata Francisco Becker</t>
        </is>
      </c>
      <c r="E725" s="62" t="n">
        <v>45688</v>
      </c>
      <c r="F725" s="67" t="inlineStr"/>
      <c r="I725" s="67" t="inlineStr"/>
      <c r="J725" s="67" t="inlineStr">
        <is>
          <t>Tarefa</t>
        </is>
      </c>
      <c r="K725" s="62" t="n">
        <v>46055</v>
      </c>
      <c r="L725" s="67" t="inlineStr">
        <is>
          <t xml:space="preserve">Lucas </t>
        </is>
      </c>
      <c r="M725" s="40" t="inlineStr">
        <is>
          <t>Cumprido</t>
        </is>
      </c>
      <c r="N725" s="62" t="n">
        <v>46055</v>
      </c>
      <c r="O725" s="67" t="inlineStr">
        <is>
          <t>Baixar mais de 300 multas do site do Detran (caso de anulação de autos de infração)</t>
        </is>
      </c>
    </row>
    <row r="726">
      <c r="A726" s="40" t="n"/>
      <c r="B726" s="40" t="inlineStr">
        <is>
          <t>Outras</t>
        </is>
      </c>
      <c r="D726" s="67" t="inlineStr">
        <is>
          <t>Renata Francisco Becker</t>
        </is>
      </c>
      <c r="E726" s="62" t="n">
        <v>45964</v>
      </c>
      <c r="I726" s="67" t="inlineStr">
        <is>
          <t>5011063-57.2016.4.04.7200</t>
        </is>
      </c>
      <c r="J726" s="67" t="inlineStr">
        <is>
          <t>Tarefa</t>
        </is>
      </c>
      <c r="K726" s="62" t="n">
        <v>46055</v>
      </c>
      <c r="L726" s="67" t="inlineStr">
        <is>
          <t>Renata Francisco Becker</t>
        </is>
      </c>
      <c r="M726" s="40" t="inlineStr">
        <is>
          <t>Cumprido</t>
        </is>
      </c>
      <c r="N726" s="62" t="n">
        <v>46055</v>
      </c>
      <c r="O726" s="67" t="inlineStr">
        <is>
          <t>Elaboração</t>
        </is>
      </c>
    </row>
    <row r="727">
      <c r="A727" s="40" t="inlineStr">
        <is>
          <t>5012339-09.2019.4.04.7204</t>
        </is>
      </c>
      <c r="B727" s="40" t="inlineStr">
        <is>
          <t>Outras</t>
        </is>
      </c>
      <c r="D727" s="67" t="inlineStr">
        <is>
          <t>Renata Francisco Becker</t>
        </is>
      </c>
      <c r="E727" s="62" t="n">
        <v>44707</v>
      </c>
      <c r="F727" s="67" t="inlineStr">
        <is>
          <t>Juízo Federal da 1ª VF de Tubarão</t>
        </is>
      </c>
      <c r="I727" s="67" t="inlineStr">
        <is>
          <t>5008261-61.2019.8.24.0064</t>
        </is>
      </c>
      <c r="J727" s="67" t="inlineStr">
        <is>
          <t>Tarefa</t>
        </is>
      </c>
      <c r="K727" s="62" t="n">
        <v>46055</v>
      </c>
      <c r="L727" s="67" t="inlineStr">
        <is>
          <t>Pedro Victor</t>
        </is>
      </c>
      <c r="M727" s="40" t="inlineStr">
        <is>
          <t>Cumprido</t>
        </is>
      </c>
      <c r="N727" s="62" t="n">
        <v>46055</v>
      </c>
      <c r="O727" s="67" t="inlineStr">
        <is>
          <t>Pedro verificar com o cliente, se o mesmo vai querer nos contratar para fazer ação de obrigação de fazer para transferir o veiculo para o nome dela, pois, fomos contratados somente apra defesa daquela.</t>
        </is>
      </c>
    </row>
    <row r="728">
      <c r="A728" s="40" t="n"/>
      <c r="B728" s="40" t="inlineStr">
        <is>
          <t>Outras</t>
        </is>
      </c>
      <c r="D728" s="67" t="inlineStr">
        <is>
          <t>Pedro Victor</t>
        </is>
      </c>
      <c r="E728" s="62" t="n">
        <v>45951</v>
      </c>
      <c r="F728" s="67" t="inlineStr"/>
      <c r="I728" s="67" t="inlineStr">
        <is>
          <t>5011984-50.2024.8.24.0020</t>
        </is>
      </c>
      <c r="J728" s="67" t="inlineStr">
        <is>
          <t>Tarefa</t>
        </is>
      </c>
      <c r="K728" s="62" t="n">
        <v>46055</v>
      </c>
      <c r="L728" s="67" t="inlineStr">
        <is>
          <t xml:space="preserve">Alexia </t>
        </is>
      </c>
      <c r="M728" s="40" t="inlineStr">
        <is>
          <t>Cumprido</t>
        </is>
      </c>
      <c r="N728" s="62" t="n">
        <v>46055</v>
      </c>
      <c r="O728" s="67" t="inlineStr">
        <is>
          <t>RETORNO - Solicitação no grupo "e a liminar que não foi atendida e pedimos para vocês solicitarem a aplicação da multa prevista em descumprimento da mesma? a quantas anda isso ?"</t>
        </is>
      </c>
    </row>
    <row r="729">
      <c r="A729" s="40" t="inlineStr">
        <is>
          <t>5013255-60.2025.8.24.0020</t>
        </is>
      </c>
      <c r="B729" s="40" t="inlineStr">
        <is>
          <t>Outras</t>
        </is>
      </c>
      <c r="D729" s="67" t="inlineStr">
        <is>
          <t>Renata Francisco Becker</t>
        </is>
      </c>
      <c r="E729" s="62" t="n">
        <v>45852</v>
      </c>
      <c r="F729" s="67" t="inlineStr">
        <is>
          <t>Vara da Infância e Juventude e Anexos</t>
        </is>
      </c>
      <c r="I729" s="67" t="inlineStr">
        <is>
          <t>51288000420248240930</t>
        </is>
      </c>
      <c r="J729" s="67" t="inlineStr">
        <is>
          <t>Tarefa</t>
        </is>
      </c>
      <c r="K729" s="62" t="n">
        <v>46055</v>
      </c>
      <c r="L729" s="67" t="inlineStr">
        <is>
          <t>Renata Francisco Becker</t>
        </is>
      </c>
      <c r="M729" s="40" t="inlineStr">
        <is>
          <t>Cumprido</t>
        </is>
      </c>
      <c r="N729" s="62" t="n">
        <v>46055</v>
      </c>
      <c r="O729" s="67" t="inlineStr">
        <is>
          <t>Revisão</t>
        </is>
      </c>
    </row>
    <row r="730">
      <c r="A730" s="40" t="inlineStr">
        <is>
          <t>48066.915049/2025-97</t>
        </is>
      </c>
      <c r="B730" s="40" t="inlineStr">
        <is>
          <t>Outras</t>
        </is>
      </c>
      <c r="D730" s="67" t="inlineStr">
        <is>
          <t>Pedro Victor</t>
        </is>
      </c>
      <c r="E730" s="62" t="n">
        <v>45870</v>
      </c>
      <c r="F730" s="67" t="inlineStr"/>
      <c r="I730" s="67" t="inlineStr">
        <is>
          <t>50736220720238240930</t>
        </is>
      </c>
      <c r="J730" s="67" t="inlineStr">
        <is>
          <t>Tarefa</t>
        </is>
      </c>
      <c r="K730" s="62" t="n">
        <v>46055</v>
      </c>
      <c r="L730" s="67" t="inlineStr">
        <is>
          <t>Renata Francisco Becker</t>
        </is>
      </c>
      <c r="M730" s="40" t="inlineStr">
        <is>
          <t>Cumprido</t>
        </is>
      </c>
      <c r="N730" s="62" t="n">
        <v>46055</v>
      </c>
      <c r="O730" s="67" t="inlineStr">
        <is>
          <t>Revisão</t>
        </is>
      </c>
    </row>
    <row r="731">
      <c r="A731" s="40" t="inlineStr">
        <is>
          <t>0000326-57.2025.5.12.0055</t>
        </is>
      </c>
      <c r="B731" s="40" t="inlineStr">
        <is>
          <t>Outras</t>
        </is>
      </c>
      <c r="D731" s="67" t="inlineStr">
        <is>
          <t>Renata Francisco Becker</t>
        </is>
      </c>
      <c r="E731" s="62" t="n">
        <v>45860</v>
      </c>
      <c r="F731" s="67" t="inlineStr">
        <is>
          <t>Vara do Trabalho</t>
        </is>
      </c>
      <c r="I731" s="67" t="inlineStr">
        <is>
          <t>50736220720238240930</t>
        </is>
      </c>
      <c r="J731" s="67" t="inlineStr">
        <is>
          <t>Tarefa</t>
        </is>
      </c>
      <c r="K731" s="62" t="n">
        <v>46055</v>
      </c>
      <c r="L731" s="67" t="inlineStr">
        <is>
          <t>Renata Francisco Becker</t>
        </is>
      </c>
      <c r="M731" s="40" t="inlineStr">
        <is>
          <t>Cumprido</t>
        </is>
      </c>
      <c r="N731" s="62" t="n">
        <v>46055</v>
      </c>
      <c r="O731" s="67" t="inlineStr">
        <is>
          <t>Revisão</t>
        </is>
      </c>
    </row>
    <row r="732">
      <c r="A732" s="40" t="n"/>
      <c r="B732" s="40" t="inlineStr">
        <is>
          <t>Outras</t>
        </is>
      </c>
      <c r="D732" s="67" t="inlineStr">
        <is>
          <t>Pedro Victor</t>
        </is>
      </c>
      <c r="E732" s="62" t="n">
        <v>45926</v>
      </c>
      <c r="I732" s="67" t="inlineStr">
        <is>
          <t>51288000420248240930</t>
        </is>
      </c>
      <c r="J732" s="67" t="inlineStr">
        <is>
          <t>Tarefa</t>
        </is>
      </c>
      <c r="K732" s="62" t="n">
        <v>46055</v>
      </c>
      <c r="L732" s="67" t="inlineStr">
        <is>
          <t>Renata Francisco Becker</t>
        </is>
      </c>
      <c r="M732" s="40" t="inlineStr">
        <is>
          <t>Cumprido</t>
        </is>
      </c>
      <c r="N732" s="62" t="n">
        <v>46055</v>
      </c>
      <c r="O732" s="67" t="inlineStr">
        <is>
          <t>Revisão</t>
        </is>
      </c>
    </row>
    <row r="733">
      <c r="A733" s="40" t="inlineStr">
        <is>
          <t>5088778-41.2025.8.24.0000</t>
        </is>
      </c>
      <c r="B733" s="40" t="inlineStr">
        <is>
          <t>Outras</t>
        </is>
      </c>
      <c r="D733" s="67" t="inlineStr">
        <is>
          <t>Renata Francisco Becker</t>
        </is>
      </c>
      <c r="E733" s="62" t="n">
        <v>45958</v>
      </c>
      <c r="F733" s="67" t="inlineStr">
        <is>
          <t>8° Camara</t>
        </is>
      </c>
      <c r="I733" s="67" t="inlineStr">
        <is>
          <t>0000148-36.2026.5.12.0003</t>
        </is>
      </c>
      <c r="J733" s="67" t="inlineStr">
        <is>
          <t>Tarefa</t>
        </is>
      </c>
      <c r="K733" s="62" t="n">
        <v>46055</v>
      </c>
      <c r="L733" s="67" t="inlineStr">
        <is>
          <t>Pedro Victor</t>
        </is>
      </c>
      <c r="M733" s="40" t="inlineStr">
        <is>
          <t>Cumprido</t>
        </is>
      </c>
      <c r="N733" s="62" t="n">
        <v>46055</v>
      </c>
      <c r="O733" s="67" t="inlineStr">
        <is>
          <t>Revisão</t>
        </is>
      </c>
    </row>
    <row r="734">
      <c r="A734" s="40" t="inlineStr">
        <is>
          <t>50430305920208240000</t>
        </is>
      </c>
      <c r="B734" s="40" t="inlineStr">
        <is>
          <t>Outras</t>
        </is>
      </c>
      <c r="D734" s="67" t="inlineStr">
        <is>
          <t>Renata Francisco Becker</t>
        </is>
      </c>
      <c r="E734" s="62" t="n">
        <v>44831</v>
      </c>
      <c r="F734" s="67" t="inlineStr"/>
      <c r="I734" s="67" t="inlineStr"/>
      <c r="J734" s="67" t="inlineStr">
        <is>
          <t>Evento</t>
        </is>
      </c>
      <c r="K734" s="62" t="n">
        <v>46055</v>
      </c>
      <c r="L734" s="67" t="inlineStr">
        <is>
          <t>Pedro Victor</t>
        </is>
      </c>
      <c r="M734" s="40" t="inlineStr">
        <is>
          <t>Cumprido</t>
        </is>
      </c>
      <c r="N734" s="62" t="n">
        <v>46055</v>
      </c>
      <c r="O734" s="67" t="inlineStr">
        <is>
          <t xml:space="preserve">Atendimento Giovani Serafim </t>
        </is>
      </c>
    </row>
    <row r="735">
      <c r="A735" s="40" t="inlineStr">
        <is>
          <t>5011308-12.2023.4.04.7204</t>
        </is>
      </c>
      <c r="B735" s="40" t="inlineStr">
        <is>
          <t>Outras</t>
        </is>
      </c>
      <c r="D735" s="67" t="inlineStr">
        <is>
          <t>Renata Francisco Becker</t>
        </is>
      </c>
      <c r="E735" s="62" t="n">
        <v>45754</v>
      </c>
      <c r="F735" s="67" t="inlineStr"/>
      <c r="I735" s="67" t="inlineStr">
        <is>
          <t>0300494-97.2016.8.24.0028</t>
        </is>
      </c>
      <c r="J735" s="67" t="inlineStr">
        <is>
          <t>Audiência</t>
        </is>
      </c>
      <c r="K735" s="62" t="n">
        <v>46055</v>
      </c>
      <c r="L735" s="67" t="inlineStr">
        <is>
          <t>Renata Francisco Becker</t>
        </is>
      </c>
      <c r="M735" s="40" t="inlineStr">
        <is>
          <t>Cumprido</t>
        </is>
      </c>
      <c r="N735" s="62" t="n">
        <v>46055</v>
      </c>
      <c r="O735" s="67" t="inlineStr">
        <is>
          <t>Aud. con. Samara x Marcel</t>
        </is>
      </c>
    </row>
    <row r="736">
      <c r="A736" s="40" t="inlineStr">
        <is>
          <t>5005850-37.2025.8.24.0031</t>
        </is>
      </c>
      <c r="B736" s="40" t="inlineStr">
        <is>
          <t>Outras</t>
        </is>
      </c>
      <c r="D736" s="67" t="inlineStr">
        <is>
          <t>Renata Francisco Becker</t>
        </is>
      </c>
      <c r="E736" s="62" t="n">
        <v>45967</v>
      </c>
      <c r="F736" s="67" t="inlineStr"/>
      <c r="I736" s="67" t="inlineStr"/>
      <c r="J736" s="67" t="inlineStr">
        <is>
          <t>Evento</t>
        </is>
      </c>
      <c r="K736" s="62" t="n">
        <v>46055</v>
      </c>
      <c r="L736" s="67" t="inlineStr">
        <is>
          <t>Pedro Victor</t>
        </is>
      </c>
      <c r="M736" s="40" t="inlineStr">
        <is>
          <t>Cumprido</t>
        </is>
      </c>
      <c r="N736" s="62" t="n">
        <v>46055</v>
      </c>
      <c r="O736" s="67" t="inlineStr">
        <is>
          <t>Reunião empresa Nichele</t>
        </is>
      </c>
    </row>
    <row r="737">
      <c r="A737" s="40" t="n"/>
      <c r="B737" s="40" t="inlineStr">
        <is>
          <t>Outras</t>
        </is>
      </c>
      <c r="D737" s="67" t="inlineStr">
        <is>
          <t>Renata Francisco Becker</t>
        </is>
      </c>
      <c r="E737" s="62" t="n">
        <v>45961</v>
      </c>
      <c r="I737" s="67" t="inlineStr">
        <is>
          <t>0013798-13.2009.8.24.0020</t>
        </is>
      </c>
      <c r="J737" s="67" t="inlineStr">
        <is>
          <t>Prazo</t>
        </is>
      </c>
      <c r="K737" s="62" t="n">
        <v>46056</v>
      </c>
      <c r="L737" s="67" t="inlineStr">
        <is>
          <t>Pedro Victor</t>
        </is>
      </c>
      <c r="M737" s="40" t="inlineStr">
        <is>
          <t>Cumprido</t>
        </is>
      </c>
      <c r="N737" s="62" t="n">
        <v>46056</v>
      </c>
      <c r="O737" s="67" t="inlineStr">
        <is>
          <t xml:space="preserve">Execeção de pré executividade </t>
        </is>
      </c>
    </row>
    <row r="738">
      <c r="A738" s="40" t="inlineStr">
        <is>
          <t>5063701-30.2025.8.24.0000</t>
        </is>
      </c>
      <c r="B738" s="40" t="inlineStr">
        <is>
          <t>Outras</t>
        </is>
      </c>
      <c r="D738" s="67" t="inlineStr">
        <is>
          <t>Renata Francisco Becker</t>
        </is>
      </c>
      <c r="E738" s="62" t="n">
        <v>45882</v>
      </c>
      <c r="F738" s="67" t="inlineStr">
        <is>
          <t>1° CAMARA</t>
        </is>
      </c>
      <c r="I738" s="67" t="inlineStr"/>
      <c r="J738" s="67" t="inlineStr">
        <is>
          <t>Prazo</t>
        </is>
      </c>
      <c r="K738" s="62" t="n">
        <v>46056</v>
      </c>
      <c r="L738" s="67" t="inlineStr">
        <is>
          <t>Jessica</t>
        </is>
      </c>
      <c r="M738" s="40" t="inlineStr">
        <is>
          <t>Cumprido</t>
        </is>
      </c>
      <c r="N738" s="62" t="n">
        <v>46056</v>
      </c>
      <c r="O738" s="67" t="inlineStr">
        <is>
          <t>Pesquisa de viabilidade municipio do Morro da Fumaça</t>
        </is>
      </c>
    </row>
    <row r="739">
      <c r="A739" s="40" t="inlineStr">
        <is>
          <t>000330.2017.12.002/0</t>
        </is>
      </c>
      <c r="B739" s="40" t="inlineStr">
        <is>
          <t>Outras</t>
        </is>
      </c>
      <c r="D739" s="67" t="inlineStr">
        <is>
          <t>Renata Francisco Becker</t>
        </is>
      </c>
      <c r="E739" s="62" t="n">
        <v>45958</v>
      </c>
      <c r="F739" s="67" t="inlineStr"/>
      <c r="I739" s="67" t="inlineStr">
        <is>
          <t>40013348420268260100</t>
        </is>
      </c>
      <c r="J739" s="67" t="inlineStr">
        <is>
          <t>Prazo</t>
        </is>
      </c>
      <c r="K739" s="62" t="n">
        <v>46056</v>
      </c>
      <c r="L739" s="67" t="inlineStr">
        <is>
          <t>Renata Francisco Becker</t>
        </is>
      </c>
      <c r="M739" s="40" t="inlineStr">
        <is>
          <t>Cumprido</t>
        </is>
      </c>
      <c r="N739" s="62" t="n">
        <v>46056</v>
      </c>
      <c r="O739" s="67" t="inlineStr">
        <is>
          <t>Prazo</t>
        </is>
      </c>
    </row>
    <row r="740">
      <c r="A740" s="40" t="inlineStr">
        <is>
          <t>5000488-63.2025.8.24.0028</t>
        </is>
      </c>
      <c r="B740" s="40" t="inlineStr">
        <is>
          <t>Outras</t>
        </is>
      </c>
      <c r="D740" s="67" t="inlineStr">
        <is>
          <t>Renata Francisco Becker</t>
        </is>
      </c>
      <c r="E740" s="62" t="n">
        <v>45694</v>
      </c>
      <c r="F740" s="67" t="inlineStr"/>
      <c r="I740" s="67" t="inlineStr">
        <is>
          <t>5006782-58.2025.8.24.0020</t>
        </is>
      </c>
      <c r="J740" s="67" t="inlineStr">
        <is>
          <t>Prazo</t>
        </is>
      </c>
      <c r="K740" s="62" t="n">
        <v>46056</v>
      </c>
      <c r="L740" s="67" t="inlineStr">
        <is>
          <t>Renata Francisco Becker</t>
        </is>
      </c>
      <c r="M740" s="40" t="inlineStr">
        <is>
          <t>Cumprido</t>
        </is>
      </c>
      <c r="N740" s="62" t="n">
        <v>46056</v>
      </c>
      <c r="O740" s="67" t="inlineStr">
        <is>
          <t>Prazo</t>
        </is>
      </c>
    </row>
    <row r="741">
      <c r="A741" s="40" t="n"/>
      <c r="B741" s="40" t="inlineStr">
        <is>
          <t>Outras</t>
        </is>
      </c>
      <c r="D741" s="67" t="inlineStr">
        <is>
          <t>Renata Francisco Becker</t>
        </is>
      </c>
      <c r="E741" s="62" t="n">
        <v>45964</v>
      </c>
      <c r="I741" s="67" t="inlineStr">
        <is>
          <t>03003498620198240076</t>
        </is>
      </c>
      <c r="J741" s="67" t="inlineStr">
        <is>
          <t>Prazo</t>
        </is>
      </c>
      <c r="K741" s="62" t="n">
        <v>46056</v>
      </c>
      <c r="L741" s="67" t="inlineStr">
        <is>
          <t>Renata Francisco Becker</t>
        </is>
      </c>
      <c r="M741" s="40" t="inlineStr">
        <is>
          <t>Cumprido</t>
        </is>
      </c>
      <c r="N741" s="62" t="n">
        <v>46056</v>
      </c>
      <c r="O741" s="67" t="inlineStr">
        <is>
          <t>Prazo</t>
        </is>
      </c>
    </row>
    <row r="742">
      <c r="A742" s="40" t="inlineStr">
        <is>
          <t>IP: 38.25.00329</t>
        </is>
      </c>
      <c r="B742" s="40" t="inlineStr">
        <is>
          <t>Outras</t>
        </is>
      </c>
      <c r="D742" s="67" t="inlineStr">
        <is>
          <t>Renata Francisco Becker</t>
        </is>
      </c>
      <c r="E742" s="62" t="n">
        <v>45950</v>
      </c>
      <c r="F742" s="67" t="inlineStr"/>
      <c r="I742" s="67" t="inlineStr">
        <is>
          <t>5007007-54.2025.8.24.0028</t>
        </is>
      </c>
      <c r="J742" s="67" t="inlineStr">
        <is>
          <t>Prazo</t>
        </is>
      </c>
      <c r="K742" s="62" t="n">
        <v>46056</v>
      </c>
      <c r="L742" s="67" t="inlineStr">
        <is>
          <t>Julia</t>
        </is>
      </c>
      <c r="M742" s="40" t="inlineStr">
        <is>
          <t>Cumprido</t>
        </is>
      </c>
      <c r="N742" s="62" t="n">
        <v>46056</v>
      </c>
      <c r="O742" s="67" t="inlineStr">
        <is>
          <t xml:space="preserve">Prazo - Inventário Franciele </t>
        </is>
      </c>
    </row>
    <row r="743">
      <c r="A743" s="40" t="inlineStr">
        <is>
          <t>5079261-12.2025.8.24.0000</t>
        </is>
      </c>
      <c r="B743" s="40" t="inlineStr">
        <is>
          <t>Outras</t>
        </is>
      </c>
      <c r="D743" s="67" t="inlineStr">
        <is>
          <t>Renata Francisco Becker</t>
        </is>
      </c>
      <c r="E743" s="62" t="n">
        <v>45931</v>
      </c>
      <c r="F743" s="67" t="inlineStr">
        <is>
          <t>2° Vara de Direito Comercial</t>
        </is>
      </c>
      <c r="I743" s="67" t="inlineStr">
        <is>
          <t>5081667-06.2025.8.24.0000</t>
        </is>
      </c>
      <c r="J743" s="67" t="inlineStr">
        <is>
          <t>Prazo</t>
        </is>
      </c>
      <c r="K743" s="62" t="n">
        <v>46056</v>
      </c>
      <c r="L743" s="67" t="inlineStr">
        <is>
          <t>Renata Francisco Becker</t>
        </is>
      </c>
      <c r="M743" s="40" t="inlineStr">
        <is>
          <t>Cumprido</t>
        </is>
      </c>
      <c r="N743" s="62" t="n">
        <v>46056</v>
      </c>
      <c r="O743" s="67" t="inlineStr">
        <is>
          <t xml:space="preserve">Prazo Acórdão </t>
        </is>
      </c>
    </row>
    <row r="744">
      <c r="A744" s="40" t="inlineStr">
        <is>
          <t>50016695720228240076</t>
        </is>
      </c>
      <c r="B744" s="40" t="inlineStr">
        <is>
          <t>Outras</t>
        </is>
      </c>
      <c r="D744" s="67" t="inlineStr">
        <is>
          <t>Renata Francisco Becker</t>
        </is>
      </c>
      <c r="E744" s="62" t="n">
        <v>44819</v>
      </c>
      <c r="F744" s="67" t="inlineStr"/>
      <c r="I744" s="67" t="inlineStr">
        <is>
          <t>5028410-06.2025.8.24.0020</t>
        </is>
      </c>
      <c r="J744" s="67" t="inlineStr">
        <is>
          <t>Prazo</t>
        </is>
      </c>
      <c r="K744" s="62" t="n">
        <v>46056</v>
      </c>
      <c r="L744" s="67" t="inlineStr">
        <is>
          <t>Julia</t>
        </is>
      </c>
      <c r="M744" s="40" t="inlineStr">
        <is>
          <t>Cumprido</t>
        </is>
      </c>
      <c r="N744" s="62" t="n">
        <v>46056</v>
      </c>
      <c r="O744" s="67" t="inlineStr">
        <is>
          <t xml:space="preserve">Prazo AR </t>
        </is>
      </c>
    </row>
    <row r="745">
      <c r="A745" s="40" t="n"/>
      <c r="B745" s="40" t="inlineStr">
        <is>
          <t>Outras</t>
        </is>
      </c>
      <c r="D745" s="67" t="inlineStr">
        <is>
          <t>Renata Francisco Becker</t>
        </is>
      </c>
      <c r="E745" s="62" t="n">
        <v>45764</v>
      </c>
      <c r="I745" s="67" t="inlineStr">
        <is>
          <t>50022017320258240028</t>
        </is>
      </c>
      <c r="J745" s="67" t="inlineStr">
        <is>
          <t>Prazo</t>
        </is>
      </c>
      <c r="K745" s="62" t="n">
        <v>46056</v>
      </c>
      <c r="L745" s="67" t="inlineStr">
        <is>
          <t>Pedro Victor</t>
        </is>
      </c>
      <c r="M745" s="40" t="inlineStr">
        <is>
          <t>Cumprido</t>
        </is>
      </c>
      <c r="N745" s="62" t="n">
        <v>46056</v>
      </c>
      <c r="O745" s="67" t="inlineStr">
        <is>
          <t>prazo crime caleb</t>
        </is>
      </c>
    </row>
    <row r="746">
      <c r="A746" s="40" t="inlineStr">
        <is>
          <t>5033356-18.2024.8.24.0000</t>
        </is>
      </c>
      <c r="B746" s="40" t="inlineStr">
        <is>
          <t>Outras</t>
        </is>
      </c>
      <c r="D746" s="67" t="inlineStr">
        <is>
          <t>Renata Francisco Becker</t>
        </is>
      </c>
      <c r="E746" s="62" t="n">
        <v>45744</v>
      </c>
      <c r="F746" s="67" t="inlineStr">
        <is>
          <t>Câmara Especial de Enfrentamento de Acervos</t>
        </is>
      </c>
      <c r="I746" s="67" t="inlineStr">
        <is>
          <t>5011974-69.2025.8.24.0020</t>
        </is>
      </c>
      <c r="J746" s="67" t="inlineStr">
        <is>
          <t>Prazo</t>
        </is>
      </c>
      <c r="K746" s="62" t="n">
        <v>46056</v>
      </c>
      <c r="L746" s="67" t="inlineStr">
        <is>
          <t>Renata Francisco Becker</t>
        </is>
      </c>
      <c r="M746" s="40" t="inlineStr">
        <is>
          <t>Cumprido</t>
        </is>
      </c>
      <c r="N746" s="62" t="n">
        <v>46056</v>
      </c>
      <c r="O746" s="67" t="inlineStr">
        <is>
          <t xml:space="preserve">prazo sentença ambipar x dag </t>
        </is>
      </c>
    </row>
    <row r="747">
      <c r="A747" s="40" t="inlineStr">
        <is>
          <t>0802732-80.2025.8.14.0000</t>
        </is>
      </c>
      <c r="B747" s="40" t="inlineStr">
        <is>
          <t>Outras</t>
        </is>
      </c>
      <c r="D747" s="67" t="inlineStr">
        <is>
          <t>Renata Francisco Becker</t>
        </is>
      </c>
      <c r="E747" s="62" t="n">
        <v>45755</v>
      </c>
      <c r="F747" s="67" t="inlineStr"/>
      <c r="I747" s="67" t="inlineStr">
        <is>
          <t>50047860320224047204</t>
        </is>
      </c>
      <c r="J747" s="67" t="inlineStr">
        <is>
          <t>Prazo</t>
        </is>
      </c>
      <c r="K747" s="62" t="n">
        <v>46056</v>
      </c>
      <c r="L747" s="67" t="inlineStr">
        <is>
          <t>Jessica</t>
        </is>
      </c>
      <c r="M747" s="40" t="inlineStr">
        <is>
          <t>Cumprido</t>
        </is>
      </c>
      <c r="N747" s="62" t="n">
        <v>46056</v>
      </c>
      <c r="O747" s="67" t="inlineStr">
        <is>
          <t xml:space="preserve">Prazo trib </t>
        </is>
      </c>
    </row>
    <row r="748">
      <c r="A748" s="40" t="inlineStr">
        <is>
          <t>5009522-93.2024.4.04.7204</t>
        </is>
      </c>
      <c r="B748" s="40" t="inlineStr">
        <is>
          <t>Outras</t>
        </is>
      </c>
      <c r="D748" s="67" t="inlineStr">
        <is>
          <t>Pedro Victor</t>
        </is>
      </c>
      <c r="E748" s="62" t="n">
        <v>45607</v>
      </c>
      <c r="F748" s="67" t="inlineStr">
        <is>
          <t>Juízo Substituto</t>
        </is>
      </c>
      <c r="I748" s="67" t="inlineStr"/>
      <c r="J748" s="67" t="inlineStr">
        <is>
          <t>Tarefa</t>
        </is>
      </c>
      <c r="K748" s="62" t="n">
        <v>46056</v>
      </c>
      <c r="L748" s="67" t="inlineStr">
        <is>
          <t>Luci</t>
        </is>
      </c>
      <c r="M748" s="40" t="inlineStr">
        <is>
          <t>Cumprido</t>
        </is>
      </c>
      <c r="N748" s="62" t="n">
        <v>46056</v>
      </c>
      <c r="O748" s="67" t="inlineStr">
        <is>
          <t>Elaboração</t>
        </is>
      </c>
    </row>
    <row r="749">
      <c r="A749" s="40" t="n"/>
      <c r="B749" s="40" t="inlineStr">
        <is>
          <t>Outras</t>
        </is>
      </c>
      <c r="D749" s="67" t="inlineStr">
        <is>
          <t>Luci</t>
        </is>
      </c>
      <c r="E749" s="62" t="n">
        <v>45791</v>
      </c>
      <c r="I749" s="67" t="inlineStr">
        <is>
          <t>5007007-54.2025.8.24.0028</t>
        </is>
      </c>
      <c r="J749" s="67" t="inlineStr">
        <is>
          <t>Tarefa</t>
        </is>
      </c>
      <c r="K749" s="62" t="n">
        <v>46056</v>
      </c>
      <c r="L749" s="67" t="inlineStr">
        <is>
          <t>Julia</t>
        </is>
      </c>
      <c r="M749" s="40" t="inlineStr">
        <is>
          <t>Cumprido</t>
        </is>
      </c>
      <c r="N749" s="62" t="n">
        <v>46056</v>
      </c>
      <c r="O749" s="67" t="inlineStr">
        <is>
          <t>Elaboração</t>
        </is>
      </c>
    </row>
    <row r="750">
      <c r="A750" s="40" t="inlineStr">
        <is>
          <t>0305000-14.2014.8.24.0020</t>
        </is>
      </c>
      <c r="B750" s="40" t="inlineStr">
        <is>
          <t>Outras</t>
        </is>
      </c>
      <c r="D750" s="67" t="inlineStr">
        <is>
          <t>Renata Francisco Becker</t>
        </is>
      </c>
      <c r="E750" s="62" t="n">
        <v>45932</v>
      </c>
      <c r="F750" s="67" t="inlineStr">
        <is>
          <t>Vara Cível</t>
        </is>
      </c>
      <c r="I750" s="67" t="inlineStr">
        <is>
          <t>50269221620258240020</t>
        </is>
      </c>
      <c r="J750" s="67" t="inlineStr">
        <is>
          <t>Tarefa</t>
        </is>
      </c>
      <c r="K750" s="62" t="n">
        <v>46056</v>
      </c>
      <c r="L750" s="67" t="inlineStr">
        <is>
          <t>Luci</t>
        </is>
      </c>
      <c r="M750" s="40" t="inlineStr">
        <is>
          <t>Cumprido</t>
        </is>
      </c>
      <c r="N750" s="62" t="n">
        <v>46056</v>
      </c>
      <c r="O750" s="67" t="inlineStr">
        <is>
          <t>Elaboração</t>
        </is>
      </c>
    </row>
    <row r="751">
      <c r="A751" s="40" t="n"/>
      <c r="B751" s="40" t="inlineStr">
        <is>
          <t>Outras</t>
        </is>
      </c>
      <c r="D751" s="67" t="inlineStr">
        <is>
          <t>Renata Francisco Becker</t>
        </is>
      </c>
      <c r="E751" s="62" t="n">
        <v>45931</v>
      </c>
      <c r="I751" s="67" t="inlineStr">
        <is>
          <t>5028410-06.2025.8.24.0020</t>
        </is>
      </c>
      <c r="J751" s="67" t="inlineStr">
        <is>
          <t>Tarefa</t>
        </is>
      </c>
      <c r="K751" s="62" t="n">
        <v>46056</v>
      </c>
      <c r="L751" s="67" t="inlineStr">
        <is>
          <t>Julia</t>
        </is>
      </c>
      <c r="M751" s="40" t="inlineStr">
        <is>
          <t>Cumprido</t>
        </is>
      </c>
      <c r="N751" s="62" t="n">
        <v>46056</v>
      </c>
      <c r="O751" s="67" t="inlineStr">
        <is>
          <t>Elaboração</t>
        </is>
      </c>
    </row>
    <row r="752">
      <c r="A752" s="40" t="n"/>
      <c r="B752" s="40" t="inlineStr">
        <is>
          <t>Outras</t>
        </is>
      </c>
      <c r="D752" s="67" t="inlineStr">
        <is>
          <t>Pedro Victor</t>
        </is>
      </c>
      <c r="E752" s="62" t="n">
        <v>45904</v>
      </c>
      <c r="I752" s="67" t="inlineStr">
        <is>
          <t>0001450-62.2025.5.12.0027</t>
        </is>
      </c>
      <c r="J752" s="67" t="inlineStr">
        <is>
          <t>Tarefa</t>
        </is>
      </c>
      <c r="K752" s="62" t="n">
        <v>46056</v>
      </c>
      <c r="L752" s="67" t="inlineStr">
        <is>
          <t>Luci</t>
        </is>
      </c>
      <c r="M752" s="40" t="inlineStr">
        <is>
          <t>Cumprido</t>
        </is>
      </c>
      <c r="N752" s="62" t="n">
        <v>46056</v>
      </c>
      <c r="O752" s="67" t="inlineStr">
        <is>
          <t>Elaboração</t>
        </is>
      </c>
    </row>
    <row r="753">
      <c r="A753" s="40" t="inlineStr">
        <is>
          <t>03011831020178240028</t>
        </is>
      </c>
      <c r="B753" s="40" t="inlineStr">
        <is>
          <t>Outras</t>
        </is>
      </c>
      <c r="D753" s="67" t="inlineStr">
        <is>
          <t>Renata Francisco Becker</t>
        </is>
      </c>
      <c r="E753" s="62" t="n">
        <v>45163</v>
      </c>
      <c r="F753" s="67" t="inlineStr"/>
      <c r="I753" s="67" t="inlineStr">
        <is>
          <t>5007226-28.2024.8.24.0020</t>
        </is>
      </c>
      <c r="J753" s="67" t="inlineStr">
        <is>
          <t>Tarefa</t>
        </is>
      </c>
      <c r="K753" s="62" t="n">
        <v>46056</v>
      </c>
      <c r="L753" s="67" t="inlineStr">
        <is>
          <t>Renata Francisco Becker</t>
        </is>
      </c>
      <c r="M753" s="40" t="inlineStr">
        <is>
          <t>Cumprido</t>
        </is>
      </c>
      <c r="N753" s="62" t="n">
        <v>46056</v>
      </c>
      <c r="O753" s="67" t="inlineStr">
        <is>
          <t>Protocolo</t>
        </is>
      </c>
    </row>
    <row r="754">
      <c r="A754" s="40" t="inlineStr">
        <is>
          <t>5015917-94.2025.8.24.0020</t>
        </is>
      </c>
      <c r="B754" s="40" t="inlineStr">
        <is>
          <t>Outras</t>
        </is>
      </c>
      <c r="D754" s="67" t="inlineStr">
        <is>
          <t>Renata Francisco Becker</t>
        </is>
      </c>
      <c r="E754" s="62" t="n">
        <v>45875</v>
      </c>
      <c r="F754" s="67" t="inlineStr">
        <is>
          <t>Vara Criminal</t>
        </is>
      </c>
      <c r="I754" s="67" t="inlineStr">
        <is>
          <t>50380204920254040000</t>
        </is>
      </c>
      <c r="J754" s="67" t="inlineStr">
        <is>
          <t>Tarefa</t>
        </is>
      </c>
      <c r="K754" s="62" t="n">
        <v>46056</v>
      </c>
      <c r="L754" s="67" t="inlineStr">
        <is>
          <t>Jessica</t>
        </is>
      </c>
      <c r="M754" s="40" t="inlineStr">
        <is>
          <t>Cumprido</t>
        </is>
      </c>
      <c r="N754" s="62" t="n">
        <v>46056</v>
      </c>
      <c r="O754" s="67" t="inlineStr">
        <is>
          <t xml:space="preserve">Protocolo </t>
        </is>
      </c>
    </row>
    <row r="755">
      <c r="A755" s="40" t="inlineStr">
        <is>
          <t>50042055620204047204</t>
        </is>
      </c>
      <c r="B755" s="40" t="inlineStr">
        <is>
          <t>Outras</t>
        </is>
      </c>
      <c r="D755" s="67" t="inlineStr">
        <is>
          <t>Renata Francisco Becker</t>
        </is>
      </c>
      <c r="E755" s="62" t="n">
        <v>44798</v>
      </c>
      <c r="F755" s="67" t="inlineStr">
        <is>
          <t>4</t>
        </is>
      </c>
      <c r="I755" s="67" t="inlineStr"/>
      <c r="J755" s="67" t="inlineStr">
        <is>
          <t>Tarefa</t>
        </is>
      </c>
      <c r="K755" s="62" t="n">
        <v>46056</v>
      </c>
      <c r="L755" s="67" t="inlineStr">
        <is>
          <t>Jessica</t>
        </is>
      </c>
      <c r="M755" s="40" t="inlineStr">
        <is>
          <t>Cumprido</t>
        </is>
      </c>
      <c r="N755" s="62" t="n">
        <v>46056</v>
      </c>
      <c r="O755" s="67" t="inlineStr">
        <is>
          <t xml:space="preserve">Realizar apuração  dos monofásicos - </t>
        </is>
      </c>
    </row>
    <row r="756">
      <c r="A756" s="40" t="inlineStr">
        <is>
          <t>5012272-44.2019.4.04.7204</t>
        </is>
      </c>
      <c r="B756" s="40" t="inlineStr">
        <is>
          <t>Outras</t>
        </is>
      </c>
      <c r="D756" s="67" t="inlineStr">
        <is>
          <t>Renata Francisco Becker</t>
        </is>
      </c>
      <c r="E756" s="62" t="n">
        <v>44719</v>
      </c>
      <c r="F756" s="67" t="inlineStr">
        <is>
          <t>Juízo Federal da 4ª VF de Criciúma</t>
        </is>
      </c>
      <c r="I756" s="67" t="inlineStr">
        <is>
          <t>0000198-30.2026.5.12.0046</t>
        </is>
      </c>
      <c r="J756" s="67" t="inlineStr">
        <is>
          <t>Tarefa</t>
        </is>
      </c>
      <c r="K756" s="62" t="n">
        <v>46056</v>
      </c>
      <c r="L756" s="67" t="inlineStr">
        <is>
          <t>Luci</t>
        </is>
      </c>
      <c r="M756" s="40" t="inlineStr">
        <is>
          <t>Cumprido</t>
        </is>
      </c>
      <c r="N756" s="62" t="n">
        <v>46056</v>
      </c>
      <c r="O756" s="67" t="inlineStr">
        <is>
          <t xml:space="preserve">Reclamatoria trabalhista - escanear os documentos - verificar audios e documentos - verificar jurisprudencia sobre desidia x gravidez 
</t>
        </is>
      </c>
    </row>
    <row r="757">
      <c r="A757" s="40" t="inlineStr">
        <is>
          <t>5012265-52.2019.4.04.7204</t>
        </is>
      </c>
      <c r="B757" s="40" t="inlineStr">
        <is>
          <t>Outras</t>
        </is>
      </c>
      <c r="D757" s="67" t="inlineStr">
        <is>
          <t>Renata Francisco Becker</t>
        </is>
      </c>
      <c r="E757" s="62" t="n">
        <v>44719</v>
      </c>
      <c r="F757" s="67" t="inlineStr">
        <is>
          <t>Juízo Federal da 4ª VF de Criciúma</t>
        </is>
      </c>
      <c r="I757" s="67" t="inlineStr"/>
      <c r="J757" s="67" t="inlineStr">
        <is>
          <t>Tarefa</t>
        </is>
      </c>
      <c r="K757" s="62" t="n">
        <v>46056</v>
      </c>
      <c r="L757" s="67" t="inlineStr">
        <is>
          <t>Renata Francisco Becker</t>
        </is>
      </c>
      <c r="M757" s="40" t="inlineStr">
        <is>
          <t>Cumprido</t>
        </is>
      </c>
      <c r="N757" s="62" t="n">
        <v>46056</v>
      </c>
      <c r="O757" s="67" t="inlineStr">
        <is>
          <t>03/02/2026 - 1* ano Lucas escritório</t>
        </is>
      </c>
    </row>
    <row r="758">
      <c r="A758" s="40" t="inlineStr">
        <is>
          <t>50045733120214047204</t>
        </is>
      </c>
      <c r="B758" s="40" t="inlineStr">
        <is>
          <t>Outras</t>
        </is>
      </c>
      <c r="D758" s="67" t="inlineStr">
        <is>
          <t>Renata Francisco Becker</t>
        </is>
      </c>
      <c r="E758" s="62" t="n">
        <v>44812</v>
      </c>
      <c r="F758" s="67" t="inlineStr"/>
      <c r="I758" s="67" t="inlineStr"/>
      <c r="J758" s="67" t="inlineStr">
        <is>
          <t>Tarefa</t>
        </is>
      </c>
      <c r="K758" s="62" t="n">
        <v>46056</v>
      </c>
      <c r="L758" s="67" t="inlineStr">
        <is>
          <t>Marelize Controladoria</t>
        </is>
      </c>
      <c r="M758" s="40" t="inlineStr">
        <is>
          <t>Cumprido</t>
        </is>
      </c>
      <c r="N758" s="62" t="n">
        <v>46056</v>
      </c>
      <c r="O758" s="67" t="inlineStr">
        <is>
          <t>03/02/2026 - Conferir prazos no TJs - TJSC - TJRS - TRT12 - TRF4 - JFSC - TJRJ - TJPR - TJPA - TJSP - TJGO;</t>
        </is>
      </c>
    </row>
    <row r="759">
      <c r="A759" s="40" t="inlineStr">
        <is>
          <t>50045680920214047204</t>
        </is>
      </c>
      <c r="B759" s="40" t="inlineStr">
        <is>
          <t>Outras</t>
        </is>
      </c>
      <c r="D759" s="67" t="inlineStr">
        <is>
          <t>Renata Francisco Becker</t>
        </is>
      </c>
      <c r="E759" s="62" t="n">
        <v>44813</v>
      </c>
      <c r="F759" s="67" t="inlineStr">
        <is>
          <t>Juízo Substituto da 4ª VF de Criciúma</t>
        </is>
      </c>
      <c r="I759" s="67" t="inlineStr"/>
      <c r="J759" s="67" t="inlineStr">
        <is>
          <t>Tarefa</t>
        </is>
      </c>
      <c r="K759" s="62" t="n">
        <v>46056</v>
      </c>
      <c r="L759" s="67" t="inlineStr">
        <is>
          <t>Marelize Controladoria</t>
        </is>
      </c>
      <c r="M759" s="40" t="inlineStr">
        <is>
          <t>Cumprido</t>
        </is>
      </c>
      <c r="N759" s="62" t="n">
        <v>46056</v>
      </c>
      <c r="O759" s="67" t="inlineStr">
        <is>
          <t>03/02/2026 - Fazer Agendas.</t>
        </is>
      </c>
    </row>
    <row r="760">
      <c r="A760" s="40" t="inlineStr">
        <is>
          <t>5006009-30.2018.4.04.7204</t>
        </is>
      </c>
      <c r="B760" s="40" t="inlineStr">
        <is>
          <t>Outras</t>
        </is>
      </c>
      <c r="D760" s="67" t="inlineStr">
        <is>
          <t>Renata Francisco Becker</t>
        </is>
      </c>
      <c r="E760" s="62" t="n">
        <v>44741</v>
      </c>
      <c r="F760" s="67" t="inlineStr">
        <is>
          <t>Juízo Substituto da 4ª VF de Criciúma</t>
        </is>
      </c>
      <c r="I760" s="67" t="inlineStr"/>
      <c r="J760" s="67" t="inlineStr">
        <is>
          <t>Tarefa</t>
        </is>
      </c>
      <c r="K760" s="62" t="n">
        <v>46056</v>
      </c>
      <c r="L760" s="67" t="inlineStr">
        <is>
          <t>Marelize Controladoria</t>
        </is>
      </c>
      <c r="M760" s="40" t="inlineStr">
        <is>
          <t>Cumprido</t>
        </is>
      </c>
      <c r="N760" s="62" t="n">
        <v>46056</v>
      </c>
      <c r="O760" s="67" t="inlineStr">
        <is>
          <t>03/02/2026 - Fazer Publicações.</t>
        </is>
      </c>
    </row>
    <row r="761">
      <c r="A761" s="40" t="inlineStr">
        <is>
          <t>5005991-09.2018.4.04.7204</t>
        </is>
      </c>
      <c r="B761" s="40" t="inlineStr">
        <is>
          <t>Outras</t>
        </is>
      </c>
      <c r="D761" s="67" t="inlineStr">
        <is>
          <t>Renata Francisco Becker</t>
        </is>
      </c>
      <c r="E761" s="62" t="n">
        <v>44741</v>
      </c>
      <c r="F761" s="67" t="inlineStr">
        <is>
          <t>Juízo Substituto da 4ª VF de Criciúma</t>
        </is>
      </c>
      <c r="I761" s="67" t="inlineStr"/>
      <c r="J761" s="67" t="inlineStr">
        <is>
          <t>Tarefa</t>
        </is>
      </c>
      <c r="K761" s="62" t="n">
        <v>46056</v>
      </c>
      <c r="L761" s="67" t="inlineStr">
        <is>
          <t>Marelize Controladoria</t>
        </is>
      </c>
      <c r="M761" s="40" t="inlineStr">
        <is>
          <t>Cumprido</t>
        </is>
      </c>
      <c r="N761" s="62" t="n">
        <v>46056</v>
      </c>
      <c r="O761" s="67" t="inlineStr">
        <is>
          <t>03/02/2026 - Olhar E-mails.</t>
        </is>
      </c>
    </row>
    <row r="762">
      <c r="A762" s="40" t="inlineStr">
        <is>
          <t>50043588920204047204</t>
        </is>
      </c>
      <c r="B762" s="40" t="inlineStr">
        <is>
          <t>Outras</t>
        </is>
      </c>
      <c r="D762" s="67" t="inlineStr">
        <is>
          <t>Renata Francisco Becker</t>
        </is>
      </c>
      <c r="E762" s="62" t="n">
        <v>44798</v>
      </c>
      <c r="F762" s="67" t="inlineStr"/>
      <c r="I762" s="67" t="inlineStr">
        <is>
          <t>5001291-60.2024.8.24.0940</t>
        </is>
      </c>
      <c r="J762" s="67" t="inlineStr">
        <is>
          <t>Tarefa</t>
        </is>
      </c>
      <c r="K762" s="62" t="n">
        <v>46056</v>
      </c>
      <c r="L762" s="67" t="inlineStr">
        <is>
          <t>Pedro Victor</t>
        </is>
      </c>
      <c r="M762" s="40" t="inlineStr">
        <is>
          <t>Cumprido</t>
        </is>
      </c>
      <c r="N762" s="62" t="n">
        <v>46056</v>
      </c>
      <c r="O762" s="67" t="inlineStr">
        <is>
          <t xml:space="preserve">cobra renuncia Edivanio </t>
        </is>
      </c>
    </row>
    <row r="763">
      <c r="A763" s="40" t="inlineStr">
        <is>
          <t>5010673-36.2020.4.04.7204</t>
        </is>
      </c>
      <c r="B763" s="40" t="inlineStr">
        <is>
          <t>Outras</t>
        </is>
      </c>
      <c r="D763" s="67" t="inlineStr">
        <is>
          <t>Renata Francisco Becker</t>
        </is>
      </c>
      <c r="E763" s="62" t="n">
        <v>44725</v>
      </c>
      <c r="F763" s="67" t="inlineStr">
        <is>
          <t>Juízo Substituto da 4ª VF de Criciúma</t>
        </is>
      </c>
      <c r="I763" s="67" t="inlineStr">
        <is>
          <t>51288000420248240930</t>
        </is>
      </c>
      <c r="J763" s="67" t="inlineStr">
        <is>
          <t>Tarefa</t>
        </is>
      </c>
      <c r="K763" s="62" t="n">
        <v>46056</v>
      </c>
      <c r="L763" s="67" t="inlineStr">
        <is>
          <t>Renata Francisco Becker</t>
        </is>
      </c>
      <c r="M763" s="40" t="inlineStr">
        <is>
          <t>Cumprido</t>
        </is>
      </c>
      <c r="N763" s="62" t="n">
        <v>46056</v>
      </c>
      <c r="O763" s="67" t="inlineStr">
        <is>
          <t>Conferencia Cliente</t>
        </is>
      </c>
    </row>
    <row r="764">
      <c r="A764" s="40" t="inlineStr">
        <is>
          <t>50041882020204047204</t>
        </is>
      </c>
      <c r="B764" s="40" t="inlineStr">
        <is>
          <t>Outras</t>
        </is>
      </c>
      <c r="D764" s="67" t="inlineStr">
        <is>
          <t>Renata Francisco Becker</t>
        </is>
      </c>
      <c r="E764" s="62" t="n">
        <v>44798</v>
      </c>
      <c r="F764" s="67" t="inlineStr"/>
      <c r="I764" s="67" t="inlineStr">
        <is>
          <t>50736220720238240930</t>
        </is>
      </c>
      <c r="J764" s="67" t="inlineStr">
        <is>
          <t>Tarefa</t>
        </is>
      </c>
      <c r="K764" s="62" t="n">
        <v>46056</v>
      </c>
      <c r="L764" s="67" t="inlineStr">
        <is>
          <t>Renata Francisco Becker</t>
        </is>
      </c>
      <c r="M764" s="40" t="inlineStr">
        <is>
          <t>Cumprido</t>
        </is>
      </c>
      <c r="N764" s="62" t="n">
        <v>46056</v>
      </c>
      <c r="O764" s="67" t="inlineStr">
        <is>
          <t>Conferencia Cliente</t>
        </is>
      </c>
    </row>
    <row r="765">
      <c r="A765" s="40" t="inlineStr">
        <is>
          <t>50056787220234047204</t>
        </is>
      </c>
      <c r="B765" s="40" t="inlineStr">
        <is>
          <t>Outras</t>
        </is>
      </c>
      <c r="D765" s="67" t="inlineStr">
        <is>
          <t>Renata Francisco Becker</t>
        </is>
      </c>
      <c r="E765" s="62" t="n">
        <v>45209</v>
      </c>
      <c r="F765" s="67" t="inlineStr"/>
      <c r="I765" s="67" t="inlineStr"/>
      <c r="J765" s="67" t="inlineStr">
        <is>
          <t>Tarefa</t>
        </is>
      </c>
      <c r="K765" s="62" t="n">
        <v>46056</v>
      </c>
      <c r="L765" s="67" t="inlineStr">
        <is>
          <t>Marelize Controladoria</t>
        </is>
      </c>
      <c r="M765" s="40" t="inlineStr">
        <is>
          <t>Cumprido</t>
        </is>
      </c>
      <c r="N765" s="62" t="n">
        <v>46056</v>
      </c>
      <c r="O765" s="67" t="inlineStr">
        <is>
          <t>Criar pasta no servidor</t>
        </is>
      </c>
    </row>
    <row r="766">
      <c r="A766" s="40" t="inlineStr">
        <is>
          <t>5011862-78.2022.4.04.7204</t>
        </is>
      </c>
      <c r="B766" s="40" t="inlineStr">
        <is>
          <t>Outras</t>
        </is>
      </c>
      <c r="D766" s="67" t="inlineStr">
        <is>
          <t>Renata Francisco Becker</t>
        </is>
      </c>
      <c r="E766" s="62" t="n">
        <v>44858</v>
      </c>
      <c r="F766" s="67" t="inlineStr">
        <is>
          <t>Juízo Federal da 4ª VF de Criciúma</t>
        </is>
      </c>
      <c r="I766" s="67" t="inlineStr"/>
      <c r="J766" s="67" t="inlineStr">
        <is>
          <t>Tarefa</t>
        </is>
      </c>
      <c r="K766" s="62" t="n">
        <v>46056</v>
      </c>
      <c r="L766" s="67" t="inlineStr">
        <is>
          <t>Marelize Controladoria</t>
        </is>
      </c>
      <c r="M766" s="40" t="inlineStr">
        <is>
          <t>Cumprido</t>
        </is>
      </c>
      <c r="N766" s="62" t="n">
        <v>46056</v>
      </c>
      <c r="O766" s="67" t="inlineStr">
        <is>
          <t>DISTRIBUIR - PETIÇÃO INICIAL</t>
        </is>
      </c>
    </row>
    <row r="767">
      <c r="A767" s="40" t="inlineStr">
        <is>
          <t>5005945-20.2018.4.04.7204</t>
        </is>
      </c>
      <c r="B767" s="40" t="inlineStr">
        <is>
          <t>Outras</t>
        </is>
      </c>
      <c r="D767" s="67" t="inlineStr">
        <is>
          <t>Renata Francisco Becker</t>
        </is>
      </c>
      <c r="E767" s="62" t="n">
        <v>44715</v>
      </c>
      <c r="F767" s="67" t="inlineStr">
        <is>
          <t>Juízo Federal da 4ª VF de Criciúma</t>
        </is>
      </c>
      <c r="I767" s="67" t="inlineStr"/>
      <c r="J767" s="67" t="inlineStr">
        <is>
          <t>Tarefa</t>
        </is>
      </c>
      <c r="K767" s="62" t="n">
        <v>46056</v>
      </c>
      <c r="L767" s="67" t="inlineStr">
        <is>
          <t>Julia</t>
        </is>
      </c>
      <c r="M767" s="40" t="inlineStr">
        <is>
          <t>Cumprido</t>
        </is>
      </c>
      <c r="N767" s="62" t="n">
        <v>46056</v>
      </c>
      <c r="O767" s="67" t="inlineStr">
        <is>
          <t>Elaboração</t>
        </is>
      </c>
    </row>
    <row r="768">
      <c r="A768" s="40" t="inlineStr">
        <is>
          <t>5006545-75.2017.4.04.7204</t>
        </is>
      </c>
      <c r="B768" s="40" t="inlineStr">
        <is>
          <t>Outras</t>
        </is>
      </c>
      <c r="D768" s="67" t="inlineStr">
        <is>
          <t>Renata Francisco Becker</t>
        </is>
      </c>
      <c r="E768" s="62" t="n">
        <v>45819</v>
      </c>
      <c r="F768" s="67" t="inlineStr">
        <is>
          <t>Juízo Federal da 4ª VF de Criciúma</t>
        </is>
      </c>
      <c r="I768" s="67" t="inlineStr"/>
      <c r="J768" s="67" t="inlineStr">
        <is>
          <t>Tarefa</t>
        </is>
      </c>
      <c r="K768" s="62" t="n">
        <v>46056</v>
      </c>
      <c r="L768" s="67" t="inlineStr">
        <is>
          <t>Marelize Controladoria</t>
        </is>
      </c>
      <c r="M768" s="40" t="inlineStr">
        <is>
          <t>Cumprido</t>
        </is>
      </c>
      <c r="N768" s="62" t="n">
        <v>46056</v>
      </c>
      <c r="O768" s="67" t="inlineStr">
        <is>
          <t>Elaboração de ata de reunião Controladoria e Sócios</t>
        </is>
      </c>
    </row>
    <row r="769">
      <c r="A769" s="40" t="inlineStr">
        <is>
          <t>00087749720238172480</t>
        </is>
      </c>
      <c r="B769" s="40" t="inlineStr">
        <is>
          <t>Outras</t>
        </is>
      </c>
      <c r="D769" s="67" t="inlineStr">
        <is>
          <t>Pedro Victor</t>
        </is>
      </c>
      <c r="E769" s="62" t="n">
        <v>45610</v>
      </c>
      <c r="I769" s="67" t="inlineStr"/>
      <c r="J769" s="67" t="inlineStr">
        <is>
          <t>Tarefa</t>
        </is>
      </c>
      <c r="K769" s="62" t="n">
        <v>46056</v>
      </c>
      <c r="L769" s="67" t="inlineStr">
        <is>
          <t>Pedro Victor</t>
        </is>
      </c>
      <c r="M769" s="40" t="inlineStr">
        <is>
          <t>Cumprido</t>
        </is>
      </c>
      <c r="N769" s="62" t="n">
        <v>46056</v>
      </c>
      <c r="O769" s="67" t="inlineStr">
        <is>
          <t xml:space="preserve">enviar orçamento Giovani Serafin </t>
        </is>
      </c>
    </row>
    <row r="770">
      <c r="A770" s="40" t="inlineStr">
        <is>
          <t>5012336-54.2019.4.04.7204</t>
        </is>
      </c>
      <c r="B770" s="40" t="inlineStr">
        <is>
          <t>Outras</t>
        </is>
      </c>
      <c r="D770" s="67" t="inlineStr">
        <is>
          <t>Renata Francisco Becker</t>
        </is>
      </c>
      <c r="E770" s="62" t="n">
        <v>44719</v>
      </c>
      <c r="F770" s="67" t="inlineStr">
        <is>
          <t>Juízo Federal da 4ª VF de Criciúma</t>
        </is>
      </c>
      <c r="I770" s="67" t="inlineStr"/>
      <c r="J770" s="67" t="inlineStr">
        <is>
          <t>Tarefa</t>
        </is>
      </c>
      <c r="K770" s="62" t="n">
        <v>46056</v>
      </c>
      <c r="L770" s="67" t="inlineStr">
        <is>
          <t>Jessica</t>
        </is>
      </c>
      <c r="M770" s="40" t="inlineStr">
        <is>
          <t>Cumprido</t>
        </is>
      </c>
      <c r="N770" s="62" t="n">
        <v>46056</v>
      </c>
      <c r="O770" s="67" t="inlineStr">
        <is>
          <t xml:space="preserve">levantamento de crédito tributário - </t>
        </is>
      </c>
    </row>
    <row r="771">
      <c r="A771" s="40" t="inlineStr">
        <is>
          <t>5027257-35.2025.8.24.0020</t>
        </is>
      </c>
      <c r="B771" s="40" t="inlineStr">
        <is>
          <t>Outras</t>
        </is>
      </c>
      <c r="D771" s="67" t="inlineStr">
        <is>
          <t>Renata Francisco Becker</t>
        </is>
      </c>
      <c r="E771" s="62" t="n">
        <v>45964</v>
      </c>
      <c r="F771" s="67" t="inlineStr"/>
      <c r="I771" s="67" t="inlineStr">
        <is>
          <t>5008261-61.2019.8.24.0064</t>
        </is>
      </c>
      <c r="J771" s="67" t="inlineStr">
        <is>
          <t>Tarefa</t>
        </is>
      </c>
      <c r="K771" s="62" t="n">
        <v>46056</v>
      </c>
      <c r="L771" s="67" t="inlineStr">
        <is>
          <t>Pedro Victor</t>
        </is>
      </c>
      <c r="M771" s="40" t="inlineStr">
        <is>
          <t>Cumprido</t>
        </is>
      </c>
      <c r="N771" s="62" t="n">
        <v>46056</v>
      </c>
      <c r="O771" s="67" t="inlineStr">
        <is>
          <t xml:space="preserve">Passar orçamento de ação de obrigação de fazer e cobrança dos danos materias </t>
        </is>
      </c>
    </row>
    <row r="772">
      <c r="A772" s="40" t="n"/>
      <c r="B772" s="40" t="inlineStr">
        <is>
          <t>Outras</t>
        </is>
      </c>
      <c r="D772" s="67" t="inlineStr">
        <is>
          <t>Renata Francisco Becker</t>
        </is>
      </c>
      <c r="E772" s="62" t="n">
        <v>45911</v>
      </c>
      <c r="I772" s="67" t="inlineStr"/>
      <c r="J772" s="67" t="inlineStr">
        <is>
          <t>Tarefa</t>
        </is>
      </c>
      <c r="K772" s="62" t="n">
        <v>46056</v>
      </c>
      <c r="L772" s="67" t="inlineStr">
        <is>
          <t>Luci</t>
        </is>
      </c>
      <c r="M772" s="40" t="inlineStr">
        <is>
          <t>Cumprido</t>
        </is>
      </c>
      <c r="N772" s="62" t="n">
        <v>46056</v>
      </c>
      <c r="O772" s="67" t="inlineStr">
        <is>
          <t>Verificar e-mail, caso KF Crismar e Vanderlei, dar retorno ao cliente.</t>
        </is>
      </c>
    </row>
    <row r="773">
      <c r="A773" s="40" t="inlineStr">
        <is>
          <t>5010564-80.2024.4.04.7204</t>
        </is>
      </c>
      <c r="B773" s="40" t="inlineStr">
        <is>
          <t>Outras</t>
        </is>
      </c>
      <c r="D773" s="67" t="inlineStr">
        <is>
          <t>Renata Francisco Becker</t>
        </is>
      </c>
      <c r="E773" s="62" t="n">
        <v>45726</v>
      </c>
      <c r="F773" s="67" t="inlineStr"/>
      <c r="I773" s="67" t="inlineStr"/>
      <c r="J773" s="67" t="inlineStr">
        <is>
          <t>Tarefa</t>
        </is>
      </c>
      <c r="K773" s="62" t="n">
        <v>46056</v>
      </c>
      <c r="L773" s="67" t="inlineStr">
        <is>
          <t>Marelize Controladoria</t>
        </is>
      </c>
      <c r="M773" s="40" t="inlineStr">
        <is>
          <t>Cumprido</t>
        </is>
      </c>
      <c r="N773" s="62" t="n">
        <v>46056</v>
      </c>
      <c r="O773" s="67" t="inlineStr">
        <is>
          <t xml:space="preserve">Ver se tem alguma demanda de extrema urgência e delegar </t>
        </is>
      </c>
    </row>
    <row r="774">
      <c r="A774" s="40" t="inlineStr">
        <is>
          <t>5003870-95.2024.4.04.7204</t>
        </is>
      </c>
      <c r="B774" s="40" t="inlineStr">
        <is>
          <t>Outras</t>
        </is>
      </c>
      <c r="D774" s="67" t="inlineStr">
        <is>
          <t>Renata Francisco Becker</t>
        </is>
      </c>
      <c r="E774" s="62" t="n">
        <v>45560</v>
      </c>
      <c r="F774" s="67" t="inlineStr"/>
      <c r="I774" s="67" t="inlineStr"/>
      <c r="J774" s="67" t="inlineStr">
        <is>
          <t>Evento</t>
        </is>
      </c>
      <c r="K774" s="62" t="n">
        <v>46056</v>
      </c>
      <c r="L774" s="67" t="inlineStr">
        <is>
          <t>Renata Francisco Becker</t>
        </is>
      </c>
      <c r="M774" s="40" t="inlineStr">
        <is>
          <t>Cumprido</t>
        </is>
      </c>
      <c r="N774" s="62" t="n">
        <v>46056</v>
      </c>
      <c r="O774" s="67" t="inlineStr">
        <is>
          <t>03/02/2026 - Reunião - Perdoná - Relatar andamento de casos judiciais e extrajudiciais</t>
        </is>
      </c>
    </row>
    <row r="775">
      <c r="A775" s="40" t="n"/>
      <c r="B775" s="40" t="inlineStr">
        <is>
          <t>Outras</t>
        </is>
      </c>
      <c r="D775" s="67" t="inlineStr">
        <is>
          <t>Pedro Victor</t>
        </is>
      </c>
      <c r="E775" s="62" t="n">
        <v>45954</v>
      </c>
      <c r="I775" s="67" t="inlineStr"/>
      <c r="J775" s="67" t="inlineStr">
        <is>
          <t>Evento</t>
        </is>
      </c>
      <c r="K775" s="62" t="n">
        <v>46056</v>
      </c>
      <c r="L775" s="67" t="inlineStr">
        <is>
          <t>Pedro Victor</t>
        </is>
      </c>
      <c r="M775" s="40" t="inlineStr">
        <is>
          <t>Cumprido</t>
        </is>
      </c>
      <c r="N775" s="62" t="n">
        <v>46056</v>
      </c>
      <c r="O775" s="67" t="inlineStr">
        <is>
          <t>Reunião Arquiteto</t>
        </is>
      </c>
    </row>
    <row r="776">
      <c r="A776" s="40" t="inlineStr">
        <is>
          <t>5021549-38.2024.8.24.0020</t>
        </is>
      </c>
      <c r="B776" s="40" t="inlineStr">
        <is>
          <t>Outras</t>
        </is>
      </c>
      <c r="D776" s="67" t="inlineStr">
        <is>
          <t>Renata Francisco Becker</t>
        </is>
      </c>
      <c r="E776" s="62" t="n">
        <v>45520</v>
      </c>
      <c r="F776" s="67" t="inlineStr">
        <is>
          <t>Vara de Fazenda Publica</t>
        </is>
      </c>
      <c r="I776" s="67" t="inlineStr"/>
      <c r="J776" s="67" t="inlineStr">
        <is>
          <t>Evento</t>
        </is>
      </c>
      <c r="K776" s="62" t="n">
        <v>46056</v>
      </c>
      <c r="L776" s="67" t="inlineStr">
        <is>
          <t>Marelize Controladoria</t>
        </is>
      </c>
      <c r="M776" s="40" t="inlineStr">
        <is>
          <t>Cumprido</t>
        </is>
      </c>
      <c r="N776" s="62" t="n">
        <v>46056</v>
      </c>
      <c r="O776" s="67" t="inlineStr">
        <is>
          <t>Reunião de levantamento e mapeamento dos fluxos operacionais - KARIA</t>
        </is>
      </c>
    </row>
    <row r="777">
      <c r="A777" s="40" t="inlineStr">
        <is>
          <t>0816796-91.2025.8.19.0021</t>
        </is>
      </c>
      <c r="B777" s="40" t="inlineStr">
        <is>
          <t>Outras</t>
        </is>
      </c>
      <c r="D777" s="67" t="inlineStr">
        <is>
          <t>Renata Francisco Becker</t>
        </is>
      </c>
      <c r="E777" s="62" t="n">
        <v>45756</v>
      </c>
      <c r="F777" s="67" t="inlineStr">
        <is>
          <t>1° vara civel</t>
        </is>
      </c>
      <c r="I777" s="67" t="inlineStr"/>
      <c r="J777" s="67" t="inlineStr">
        <is>
          <t>Prazo</t>
        </is>
      </c>
      <c r="K777" s="62" t="n">
        <v>46057</v>
      </c>
      <c r="L777" s="67" t="inlineStr">
        <is>
          <t>Julia</t>
        </is>
      </c>
      <c r="M777" s="40" t="inlineStr">
        <is>
          <t>Cumprido</t>
        </is>
      </c>
      <c r="N777" s="62" t="n">
        <v>46057</v>
      </c>
      <c r="O777" s="67" t="inlineStr">
        <is>
          <t>Alteração de contrato de mútuo - Bev x Reficel</t>
        </is>
      </c>
    </row>
    <row r="778">
      <c r="A778" s="40" t="inlineStr">
        <is>
          <t>5030733-18.2024.8.24.0020</t>
        </is>
      </c>
      <c r="B778" s="40" t="inlineStr">
        <is>
          <t>Outras</t>
        </is>
      </c>
      <c r="D778" s="67" t="inlineStr">
        <is>
          <t>Renata Francisco Becker</t>
        </is>
      </c>
      <c r="E778" s="62" t="n">
        <v>45953</v>
      </c>
      <c r="F778" s="67" t="inlineStr">
        <is>
          <t>2ª Vara Cível</t>
        </is>
      </c>
      <c r="I778" s="67" t="inlineStr"/>
      <c r="J778" s="67" t="inlineStr">
        <is>
          <t>Prazo</t>
        </is>
      </c>
      <c r="K778" s="62" t="n">
        <v>46057</v>
      </c>
      <c r="L778" s="67" t="inlineStr">
        <is>
          <t>Renata Francisco Becker</t>
        </is>
      </c>
      <c r="M778" s="40" t="inlineStr">
        <is>
          <t>Cumprido</t>
        </is>
      </c>
      <c r="N778" s="62" t="n">
        <v>46057</v>
      </c>
      <c r="O778" s="67" t="inlineStr">
        <is>
          <t>Analise termo aditivo Marini</t>
        </is>
      </c>
    </row>
    <row r="779">
      <c r="A779" s="40" t="inlineStr">
        <is>
          <t>0007931-96.2025.8.16.0021</t>
        </is>
      </c>
      <c r="B779" s="40" t="inlineStr">
        <is>
          <t>Outras</t>
        </is>
      </c>
      <c r="D779" s="67" t="inlineStr">
        <is>
          <t>Renata Francisco Becker</t>
        </is>
      </c>
      <c r="E779" s="62" t="n">
        <v>45709</v>
      </c>
      <c r="F779" s="67" t="inlineStr">
        <is>
          <t>juizado especial civel</t>
        </is>
      </c>
      <c r="I779" s="67" t="inlineStr"/>
      <c r="J779" s="67" t="inlineStr">
        <is>
          <t>Prazo</t>
        </is>
      </c>
      <c r="K779" s="62" t="n">
        <v>46057</v>
      </c>
      <c r="L779" s="67" t="inlineStr">
        <is>
          <t xml:space="preserve">Lucas </t>
        </is>
      </c>
      <c r="M779" s="40" t="inlineStr">
        <is>
          <t>Cumprido</t>
        </is>
      </c>
      <c r="N779" s="62" t="n">
        <v>46057</v>
      </c>
      <c r="O779" s="67" t="inlineStr">
        <is>
          <t>Auditoria Trabalhista Vonsher</t>
        </is>
      </c>
    </row>
    <row r="780">
      <c r="A780" s="40" t="n"/>
      <c r="B780" s="40" t="inlineStr">
        <is>
          <t>Outras</t>
        </is>
      </c>
      <c r="D780" s="67" t="inlineStr">
        <is>
          <t>Pedro Victor</t>
        </is>
      </c>
      <c r="E780" s="62" t="n">
        <v>45926</v>
      </c>
      <c r="I780" s="67" t="inlineStr">
        <is>
          <t>0001450-62.2025.5.12.0027</t>
        </is>
      </c>
      <c r="J780" s="67" t="inlineStr">
        <is>
          <t>Prazo</t>
        </is>
      </c>
      <c r="K780" s="62" t="n">
        <v>46057</v>
      </c>
      <c r="L780" s="67" t="inlineStr">
        <is>
          <t>Luci</t>
        </is>
      </c>
      <c r="M780" s="40" t="inlineStr">
        <is>
          <t>Cumprido</t>
        </is>
      </c>
      <c r="N780" s="62" t="n">
        <v>46057</v>
      </c>
      <c r="O780" s="67" t="inlineStr">
        <is>
          <t>Contestação</t>
        </is>
      </c>
    </row>
    <row r="781">
      <c r="A781" s="40" t="inlineStr">
        <is>
          <t>0001142-61.2014.5.12.0043</t>
        </is>
      </c>
      <c r="B781" s="40" t="inlineStr">
        <is>
          <t>Outras</t>
        </is>
      </c>
      <c r="D781" s="67" t="inlineStr">
        <is>
          <t>Renata Francisco Becker</t>
        </is>
      </c>
      <c r="E781" s="62" t="n">
        <v>44847</v>
      </c>
      <c r="F781" s="67" t="inlineStr"/>
      <c r="I781" s="67" t="inlineStr"/>
      <c r="J781" s="67" t="inlineStr">
        <is>
          <t>Prazo</t>
        </is>
      </c>
      <c r="K781" s="62" t="n">
        <v>46057</v>
      </c>
      <c r="L781" s="67" t="inlineStr">
        <is>
          <t xml:space="preserve">Lucas </t>
        </is>
      </c>
      <c r="M781" s="40" t="inlineStr">
        <is>
          <t>Cumprido</t>
        </is>
      </c>
      <c r="N781" s="62" t="n">
        <v>46057</v>
      </c>
      <c r="O781" s="67" t="inlineStr">
        <is>
          <t xml:space="preserve">Elaborar termo aditivo funcionário Transdag </t>
        </is>
      </c>
    </row>
    <row r="782">
      <c r="A782" s="40" t="inlineStr">
        <is>
          <t>5028467-84.2025.8.24.0000</t>
        </is>
      </c>
      <c r="B782" s="40" t="inlineStr">
        <is>
          <t>Outras</t>
        </is>
      </c>
      <c r="D782" s="67" t="inlineStr">
        <is>
          <t>Renata Francisco Becker</t>
        </is>
      </c>
      <c r="E782" s="62" t="n">
        <v>45786</v>
      </c>
      <c r="F782" s="67" t="inlineStr">
        <is>
          <t>Câmara</t>
        </is>
      </c>
      <c r="I782" s="67" t="inlineStr"/>
      <c r="J782" s="67" t="inlineStr">
        <is>
          <t>Prazo</t>
        </is>
      </c>
      <c r="K782" s="62" t="n">
        <v>46057</v>
      </c>
      <c r="L782" s="67" t="inlineStr">
        <is>
          <t xml:space="preserve">Lucas </t>
        </is>
      </c>
      <c r="M782" s="40" t="inlineStr">
        <is>
          <t>Cumprido</t>
        </is>
      </c>
      <c r="N782" s="62" t="n">
        <v>46057</v>
      </c>
      <c r="O782" s="67" t="inlineStr">
        <is>
          <t>Elaboração de Carta para dispensa do trabalho</t>
        </is>
      </c>
    </row>
    <row r="783">
      <c r="A783" s="40" t="n"/>
      <c r="B783" s="40" t="inlineStr">
        <is>
          <t>Outras</t>
        </is>
      </c>
      <c r="D783" s="67" t="inlineStr">
        <is>
          <t>Renata Francisco Becker</t>
        </is>
      </c>
      <c r="E783" s="62" t="n">
        <v>45951</v>
      </c>
      <c r="I783" s="67" t="inlineStr"/>
      <c r="J783" s="67" t="inlineStr">
        <is>
          <t>Prazo</t>
        </is>
      </c>
      <c r="K783" s="62" t="n">
        <v>46057</v>
      </c>
      <c r="L783" s="67" t="inlineStr">
        <is>
          <t>Renata Francisco Becker</t>
        </is>
      </c>
      <c r="M783" s="40" t="inlineStr">
        <is>
          <t>Cumprido</t>
        </is>
      </c>
      <c r="N783" s="62" t="n">
        <v>46057</v>
      </c>
      <c r="O783" s="67" t="inlineStr">
        <is>
          <t>Estratégia de Venda de Ativo - Bruno Reficel</t>
        </is>
      </c>
    </row>
    <row r="784">
      <c r="A784" s="40" t="n"/>
      <c r="B784" s="40" t="inlineStr">
        <is>
          <t>Outras</t>
        </is>
      </c>
      <c r="D784" s="67" t="inlineStr">
        <is>
          <t>Pedro Victor</t>
        </is>
      </c>
      <c r="E784" s="62" t="n">
        <v>45917</v>
      </c>
      <c r="I784" s="67" t="inlineStr">
        <is>
          <t>50298608620228240020</t>
        </is>
      </c>
      <c r="J784" s="67" t="inlineStr">
        <is>
          <t>Prazo</t>
        </is>
      </c>
      <c r="K784" s="62" t="n">
        <v>46057</v>
      </c>
      <c r="L784" s="67" t="inlineStr">
        <is>
          <t>Renata Francisco Becker</t>
        </is>
      </c>
      <c r="M784" s="40" t="inlineStr">
        <is>
          <t>Cumprido</t>
        </is>
      </c>
      <c r="N784" s="62" t="n">
        <v>46057</v>
      </c>
      <c r="O784" s="67" t="inlineStr">
        <is>
          <t>Prazo</t>
        </is>
      </c>
    </row>
    <row r="785">
      <c r="A785" s="40" t="inlineStr">
        <is>
          <t>5029295-54.2024.8.24.0020</t>
        </is>
      </c>
      <c r="B785" s="40" t="inlineStr">
        <is>
          <t>Outras</t>
        </is>
      </c>
      <c r="D785" s="67" t="inlineStr">
        <is>
          <t>Renata Francisco Becker</t>
        </is>
      </c>
      <c r="E785" s="62" t="n">
        <v>45799</v>
      </c>
      <c r="F785" s="67" t="inlineStr">
        <is>
          <t>Vara Cível</t>
        </is>
      </c>
      <c r="I785" s="67" t="inlineStr">
        <is>
          <t>5007011-18.2025.8.24.0020</t>
        </is>
      </c>
      <c r="J785" s="67" t="inlineStr">
        <is>
          <t>Prazo</t>
        </is>
      </c>
      <c r="K785" s="62" t="n">
        <v>46057</v>
      </c>
      <c r="L785" s="67" t="inlineStr">
        <is>
          <t>Renata Francisco Becker</t>
        </is>
      </c>
      <c r="M785" s="40" t="inlineStr">
        <is>
          <t>Cumprido</t>
        </is>
      </c>
      <c r="N785" s="62" t="n">
        <v>46057</v>
      </c>
      <c r="O785" s="67" t="inlineStr">
        <is>
          <t>Prazo</t>
        </is>
      </c>
    </row>
    <row r="786">
      <c r="A786" s="40" t="inlineStr">
        <is>
          <t>5029298-09.2024.8.24.0020</t>
        </is>
      </c>
      <c r="B786" s="40" t="inlineStr">
        <is>
          <t>Outras</t>
        </is>
      </c>
      <c r="D786" s="67" t="inlineStr">
        <is>
          <t>Renata Francisco Becker</t>
        </is>
      </c>
      <c r="E786" s="62" t="n">
        <v>45799</v>
      </c>
      <c r="F786" s="67" t="inlineStr">
        <is>
          <t>Vara Cível</t>
        </is>
      </c>
      <c r="I786" s="67" t="inlineStr">
        <is>
          <t>5017830-14.2025.8.24.0020</t>
        </is>
      </c>
      <c r="J786" s="67" t="inlineStr">
        <is>
          <t>Prazo</t>
        </is>
      </c>
      <c r="K786" s="62" t="n">
        <v>46057</v>
      </c>
      <c r="L786" s="67" t="inlineStr">
        <is>
          <t>Julia</t>
        </is>
      </c>
      <c r="M786" s="40" t="inlineStr">
        <is>
          <t>Cumprido</t>
        </is>
      </c>
      <c r="N786" s="62" t="n">
        <v>46057</v>
      </c>
      <c r="O786" s="67" t="inlineStr">
        <is>
          <t>Prazo</t>
        </is>
      </c>
    </row>
    <row r="787">
      <c r="A787" s="40" t="n"/>
      <c r="B787" s="40" t="inlineStr">
        <is>
          <t>Outras</t>
        </is>
      </c>
      <c r="D787" s="67" t="inlineStr">
        <is>
          <t>Luci</t>
        </is>
      </c>
      <c r="E787" s="62" t="n">
        <v>45741</v>
      </c>
      <c r="I787" s="67" t="inlineStr">
        <is>
          <t>5028872-60.2025.8.24.0020</t>
        </is>
      </c>
      <c r="J787" s="67" t="inlineStr">
        <is>
          <t>Prazo</t>
        </is>
      </c>
      <c r="K787" s="62" t="n">
        <v>46057</v>
      </c>
      <c r="L787" s="67" t="inlineStr">
        <is>
          <t>Julia</t>
        </is>
      </c>
      <c r="M787" s="40" t="inlineStr">
        <is>
          <t>Cumprido</t>
        </is>
      </c>
      <c r="N787" s="62" t="n">
        <v>46057</v>
      </c>
      <c r="O787" s="67" t="inlineStr">
        <is>
          <t>Prazo CONTESTAÇÃO Valdinei</t>
        </is>
      </c>
    </row>
    <row r="788">
      <c r="A788" s="40" t="n"/>
      <c r="B788" s="40" t="inlineStr">
        <is>
          <t>Outras</t>
        </is>
      </c>
      <c r="D788" s="67" t="inlineStr">
        <is>
          <t>Renata Francisco Becker</t>
        </is>
      </c>
      <c r="E788" s="62" t="n">
        <v>45932</v>
      </c>
      <c r="I788" s="67" t="inlineStr">
        <is>
          <t>5001100-11.2019.8.24.0028</t>
        </is>
      </c>
      <c r="J788" s="67" t="inlineStr">
        <is>
          <t>Prazo</t>
        </is>
      </c>
      <c r="K788" s="62" t="n">
        <v>46057</v>
      </c>
      <c r="L788" s="67" t="inlineStr">
        <is>
          <t>Jessica</t>
        </is>
      </c>
      <c r="M788" s="40" t="inlineStr">
        <is>
          <t>Cumprido</t>
        </is>
      </c>
      <c r="N788" s="62" t="n">
        <v>46057</v>
      </c>
      <c r="O788" s="67" t="inlineStr">
        <is>
          <t>Prazo JJ</t>
        </is>
      </c>
    </row>
    <row r="789">
      <c r="A789" s="40" t="n"/>
      <c r="B789" s="40" t="inlineStr">
        <is>
          <t>Outras</t>
        </is>
      </c>
      <c r="D789" s="67" t="inlineStr">
        <is>
          <t>Renata Francisco Becker</t>
        </is>
      </c>
      <c r="E789" s="62" t="n">
        <v>45937</v>
      </c>
      <c r="I789" s="67" t="inlineStr">
        <is>
          <t>5017802-94.2025.8.24.0004</t>
        </is>
      </c>
      <c r="J789" s="67" t="inlineStr">
        <is>
          <t>Prazo</t>
        </is>
      </c>
      <c r="K789" s="62" t="n">
        <v>46057</v>
      </c>
      <c r="L789" s="67" t="inlineStr">
        <is>
          <t>Renata Francisco Becker</t>
        </is>
      </c>
      <c r="M789" s="40" t="inlineStr">
        <is>
          <t>Cumprido</t>
        </is>
      </c>
      <c r="N789" s="62" t="n">
        <v>46057</v>
      </c>
      <c r="O789" s="67" t="inlineStr">
        <is>
          <t>Réplica Luana golpe</t>
        </is>
      </c>
    </row>
    <row r="790">
      <c r="A790" s="40" t="n"/>
      <c r="B790" s="40" t="inlineStr">
        <is>
          <t>Outras</t>
        </is>
      </c>
      <c r="D790" s="67" t="inlineStr">
        <is>
          <t>Renata Francisco Becker</t>
        </is>
      </c>
      <c r="E790" s="62" t="n">
        <v>45944</v>
      </c>
      <c r="I790" s="67" t="inlineStr"/>
      <c r="J790" s="67" t="inlineStr">
        <is>
          <t>Tarefa</t>
        </is>
      </c>
      <c r="K790" s="62" t="n">
        <v>46057</v>
      </c>
      <c r="L790" s="67" t="inlineStr">
        <is>
          <t xml:space="preserve">Lucas </t>
        </is>
      </c>
      <c r="M790" s="40" t="inlineStr">
        <is>
          <t>Cumprido</t>
        </is>
      </c>
      <c r="N790" s="62" t="n">
        <v>46057</v>
      </c>
      <c r="O790" s="67" t="inlineStr">
        <is>
          <t>30/01/2026 - CONFERIR ATIVIDADES MONITORADAS</t>
        </is>
      </c>
    </row>
    <row r="791">
      <c r="A791" s="40" t="inlineStr">
        <is>
          <t>5003900-96.2025.4.04.7204</t>
        </is>
      </c>
      <c r="B791" s="40" t="inlineStr">
        <is>
          <t>Outras</t>
        </is>
      </c>
      <c r="D791" s="67" t="inlineStr">
        <is>
          <t>Renata Francisco Becker</t>
        </is>
      </c>
      <c r="E791" s="62" t="n">
        <v>45772</v>
      </c>
      <c r="F791" s="67" t="inlineStr">
        <is>
          <t>Vara Federal</t>
        </is>
      </c>
      <c r="I791" s="67" t="inlineStr">
        <is>
          <t>00001865320235120003</t>
        </is>
      </c>
      <c r="J791" s="67" t="inlineStr">
        <is>
          <t>Tarefa</t>
        </is>
      </c>
      <c r="K791" s="62" t="n">
        <v>46057</v>
      </c>
      <c r="L791" s="67" t="inlineStr">
        <is>
          <t>Luci</t>
        </is>
      </c>
      <c r="M791" s="40" t="inlineStr">
        <is>
          <t>Cumprido</t>
        </is>
      </c>
      <c r="N791" s="62" t="n">
        <v>46057</v>
      </c>
      <c r="O791" s="67" t="inlineStr">
        <is>
          <t>Elaboração</t>
        </is>
      </c>
    </row>
    <row r="792">
      <c r="A792" s="40" t="n"/>
      <c r="B792" s="40" t="inlineStr">
        <is>
          <t>Outras</t>
        </is>
      </c>
      <c r="D792" s="67" t="inlineStr">
        <is>
          <t>Renata Francisco Becker</t>
        </is>
      </c>
      <c r="E792" s="62" t="n">
        <v>45939</v>
      </c>
      <c r="I792" s="67" t="inlineStr">
        <is>
          <t>5028872-60.2025.8.24.0020</t>
        </is>
      </c>
      <c r="J792" s="67" t="inlineStr">
        <is>
          <t>Tarefa</t>
        </is>
      </c>
      <c r="K792" s="62" t="n">
        <v>46057</v>
      </c>
      <c r="L792" s="67" t="inlineStr">
        <is>
          <t>Julia</t>
        </is>
      </c>
      <c r="M792" s="40" t="inlineStr">
        <is>
          <t>Cumprido</t>
        </is>
      </c>
      <c r="N792" s="62" t="n">
        <v>46057</v>
      </c>
      <c r="O792" s="67" t="inlineStr">
        <is>
          <t>Elaboração</t>
        </is>
      </c>
    </row>
    <row r="793">
      <c r="A793" s="40" t="n"/>
      <c r="B793" s="40" t="inlineStr">
        <is>
          <t>Outras</t>
        </is>
      </c>
      <c r="D793" s="67" t="inlineStr">
        <is>
          <t>Renata Francisco Becker</t>
        </is>
      </c>
      <c r="E793" s="62" t="n">
        <v>45940</v>
      </c>
      <c r="I793" s="67" t="inlineStr">
        <is>
          <t>50298608620228240020</t>
        </is>
      </c>
      <c r="J793" s="67" t="inlineStr">
        <is>
          <t>Tarefa</t>
        </is>
      </c>
      <c r="K793" s="62" t="n">
        <v>46057</v>
      </c>
      <c r="L793" s="67" t="inlineStr">
        <is>
          <t>Renata Francisco Becker</t>
        </is>
      </c>
      <c r="M793" s="40" t="inlineStr">
        <is>
          <t>Cumprido</t>
        </is>
      </c>
      <c r="N793" s="62" t="n">
        <v>46057</v>
      </c>
      <c r="O793" s="67" t="inlineStr">
        <is>
          <t>Elaboração</t>
        </is>
      </c>
    </row>
    <row r="794">
      <c r="A794" s="40" t="n"/>
      <c r="B794" s="40" t="inlineStr">
        <is>
          <t>Outras</t>
        </is>
      </c>
      <c r="D794" s="67" t="inlineStr">
        <is>
          <t>Renata Francisco Becker</t>
        </is>
      </c>
      <c r="E794" s="62" t="n">
        <v>45840</v>
      </c>
      <c r="I794" s="67" t="inlineStr"/>
      <c r="J794" s="67" t="inlineStr">
        <is>
          <t>Tarefa</t>
        </is>
      </c>
      <c r="K794" s="62" t="n">
        <v>46057</v>
      </c>
      <c r="L794" s="67" t="inlineStr">
        <is>
          <t xml:space="preserve">Lucas </t>
        </is>
      </c>
      <c r="M794" s="40" t="inlineStr">
        <is>
          <t>Cumprido</t>
        </is>
      </c>
      <c r="N794" s="62" t="n">
        <v>46057</v>
      </c>
      <c r="O794" s="67" t="inlineStr">
        <is>
          <t>Elaboração (Confecção de documetos)</t>
        </is>
      </c>
    </row>
    <row r="795">
      <c r="A795" s="40" t="n"/>
      <c r="B795" s="40" t="inlineStr">
        <is>
          <t>Outras</t>
        </is>
      </c>
      <c r="D795" s="67" t="inlineStr">
        <is>
          <t>Renata Francisco Becker</t>
        </is>
      </c>
      <c r="E795" s="62" t="n">
        <v>45943</v>
      </c>
      <c r="I795" s="67" t="inlineStr"/>
      <c r="J795" s="67" t="inlineStr">
        <is>
          <t>Tarefa</t>
        </is>
      </c>
      <c r="K795" s="62" t="n">
        <v>46057</v>
      </c>
      <c r="L795" s="67" t="inlineStr">
        <is>
          <t>Pedro Victor</t>
        </is>
      </c>
      <c r="M795" s="40" t="inlineStr">
        <is>
          <t>Cumprido</t>
        </is>
      </c>
      <c r="N795" s="62" t="n">
        <v>46057</v>
      </c>
      <c r="O795" s="67" t="inlineStr">
        <is>
          <t>Apresentação de diagnóstico tributário - tese do século</t>
        </is>
      </c>
    </row>
    <row r="796">
      <c r="A796" s="40" t="inlineStr">
        <is>
          <t>50103404520244047204</t>
        </is>
      </c>
      <c r="B796" s="40" t="inlineStr">
        <is>
          <t>Outras</t>
        </is>
      </c>
      <c r="D796" s="67" t="inlineStr">
        <is>
          <t>Renata Francisco Becker</t>
        </is>
      </c>
      <c r="E796" s="62" t="n">
        <v>45693</v>
      </c>
      <c r="F796" s="67" t="inlineStr"/>
      <c r="I796" s="67" t="inlineStr">
        <is>
          <t>5260623-93.2023.8.21.0001</t>
        </is>
      </c>
      <c r="J796" s="67" t="inlineStr">
        <is>
          <t>Tarefa</t>
        </is>
      </c>
      <c r="K796" s="62" t="n">
        <v>46057</v>
      </c>
      <c r="L796" s="67" t="inlineStr">
        <is>
          <t>Renata Francisco Becker</t>
        </is>
      </c>
      <c r="M796" s="40" t="inlineStr">
        <is>
          <t>Cumprido</t>
        </is>
      </c>
      <c r="N796" s="62" t="n">
        <v>46057</v>
      </c>
      <c r="O796" s="67" t="inlineStr">
        <is>
          <t xml:space="preserve">Protocolo </t>
        </is>
      </c>
    </row>
    <row r="797">
      <c r="A797" s="40" t="inlineStr">
        <is>
          <t>0300296-60.2016.8.24.0028</t>
        </is>
      </c>
      <c r="B797" s="40" t="inlineStr">
        <is>
          <t>Outras</t>
        </is>
      </c>
      <c r="D797" s="67" t="inlineStr">
        <is>
          <t>Renata Francisco Becker</t>
        </is>
      </c>
      <c r="E797" s="62" t="n">
        <v>44866</v>
      </c>
      <c r="F797" s="67" t="inlineStr">
        <is>
          <t>Juízo da 1ª Vara Cível da Comarca de Içara</t>
        </is>
      </c>
      <c r="I797" s="67" t="inlineStr">
        <is>
          <t>5000453-56.2025.8.24.0076</t>
        </is>
      </c>
      <c r="J797" s="67" t="inlineStr">
        <is>
          <t>Tarefa</t>
        </is>
      </c>
      <c r="K797" s="62" t="n">
        <v>46057</v>
      </c>
      <c r="L797" s="67" t="inlineStr">
        <is>
          <t>Jessica</t>
        </is>
      </c>
      <c r="M797" s="40" t="inlineStr">
        <is>
          <t>Cumprido</t>
        </is>
      </c>
      <c r="N797" s="62" t="n">
        <v>46057</v>
      </c>
      <c r="O797" s="67" t="inlineStr">
        <is>
          <t>Revisão</t>
        </is>
      </c>
    </row>
    <row r="798">
      <c r="A798" s="40" t="n"/>
      <c r="B798" s="40" t="inlineStr">
        <is>
          <t>Outras</t>
        </is>
      </c>
      <c r="D798" s="67" t="inlineStr">
        <is>
          <t>Renata Francisco Becker</t>
        </is>
      </c>
      <c r="E798" s="62" t="n">
        <v>45940</v>
      </c>
      <c r="I798" s="67" t="inlineStr">
        <is>
          <t>50142426920254047204</t>
        </is>
      </c>
      <c r="J798" s="67" t="inlineStr">
        <is>
          <t>Tarefa</t>
        </is>
      </c>
      <c r="K798" s="62" t="n">
        <v>46057</v>
      </c>
      <c r="L798" s="67" t="inlineStr">
        <is>
          <t>Pedro Victor</t>
        </is>
      </c>
      <c r="M798" s="40" t="inlineStr">
        <is>
          <t>Cumprido</t>
        </is>
      </c>
      <c r="N798" s="62" t="n">
        <v>46057</v>
      </c>
      <c r="O798" s="67" t="inlineStr">
        <is>
          <t>Revisão</t>
        </is>
      </c>
    </row>
    <row r="799">
      <c r="A799" s="40" t="n"/>
      <c r="B799" s="40" t="inlineStr">
        <is>
          <t>Outras</t>
        </is>
      </c>
      <c r="D799" s="67" t="inlineStr">
        <is>
          <t>Renata Francisco Becker</t>
        </is>
      </c>
      <c r="E799" s="62" t="n">
        <v>45939</v>
      </c>
      <c r="I799" s="67" t="inlineStr">
        <is>
          <t>50142426920254047204</t>
        </is>
      </c>
      <c r="J799" s="67" t="inlineStr">
        <is>
          <t>Tarefa</t>
        </is>
      </c>
      <c r="K799" s="62" t="n">
        <v>46057</v>
      </c>
      <c r="L799" s="67" t="inlineStr">
        <is>
          <t>Jessica</t>
        </is>
      </c>
      <c r="M799" s="40" t="inlineStr">
        <is>
          <t>Cumprido</t>
        </is>
      </c>
      <c r="N799" s="62" t="n">
        <v>46057</v>
      </c>
      <c r="O799" s="67" t="inlineStr">
        <is>
          <t>Revisão</t>
        </is>
      </c>
    </row>
    <row r="800">
      <c r="A800" s="40" t="n"/>
      <c r="B800" s="40" t="inlineStr">
        <is>
          <t>Outras</t>
        </is>
      </c>
      <c r="D800" s="67" t="inlineStr">
        <is>
          <t>Renata Francisco Becker</t>
        </is>
      </c>
      <c r="E800" s="62" t="n">
        <v>45938</v>
      </c>
      <c r="I800" s="67" t="inlineStr">
        <is>
          <t>5000453-56.2025.8.24.0076</t>
        </is>
      </c>
      <c r="J800" s="67" t="inlineStr">
        <is>
          <t>Tarefa</t>
        </is>
      </c>
      <c r="K800" s="62" t="n">
        <v>46057</v>
      </c>
      <c r="L800" s="67" t="inlineStr">
        <is>
          <t>Renata Francisco Becker</t>
        </is>
      </c>
      <c r="M800" s="40" t="inlineStr">
        <is>
          <t>Cumprido</t>
        </is>
      </c>
      <c r="N800" s="62" t="n">
        <v>46057</v>
      </c>
      <c r="O800" s="67" t="inlineStr">
        <is>
          <t>Revisão</t>
        </is>
      </c>
    </row>
    <row r="801">
      <c r="A801" s="40" t="inlineStr">
        <is>
          <t>5033990-51.2024.8.24.0020</t>
        </is>
      </c>
      <c r="B801" s="40" t="inlineStr">
        <is>
          <t>Outras</t>
        </is>
      </c>
      <c r="D801" s="67" t="inlineStr">
        <is>
          <t>Renata Francisco Becker</t>
        </is>
      </c>
      <c r="E801" s="62" t="n">
        <v>45670</v>
      </c>
      <c r="F801" s="67" t="inlineStr"/>
      <c r="I801" s="67" t="inlineStr">
        <is>
          <t>5007007-54.2025.8.24.0028</t>
        </is>
      </c>
      <c r="J801" s="67" t="inlineStr">
        <is>
          <t>Tarefa</t>
        </is>
      </c>
      <c r="K801" s="62" t="n">
        <v>46057</v>
      </c>
      <c r="L801" s="67" t="inlineStr">
        <is>
          <t>Renata Francisco Becker</t>
        </is>
      </c>
      <c r="M801" s="40" t="inlineStr">
        <is>
          <t>Cumprido</t>
        </is>
      </c>
      <c r="N801" s="62" t="n">
        <v>46057</v>
      </c>
      <c r="O801" s="67" t="inlineStr">
        <is>
          <t>Revisão</t>
        </is>
      </c>
    </row>
    <row r="802">
      <c r="A802" s="40" t="n"/>
      <c r="B802" s="40" t="inlineStr">
        <is>
          <t>Outras</t>
        </is>
      </c>
      <c r="D802" s="67" t="inlineStr">
        <is>
          <t>Renata Francisco Becker</t>
        </is>
      </c>
      <c r="E802" s="62" t="n">
        <v>45938</v>
      </c>
      <c r="I802" s="67" t="inlineStr">
        <is>
          <t>5012154-68.2019.4.04.7204</t>
        </is>
      </c>
      <c r="J802" s="67" t="inlineStr">
        <is>
          <t>Tarefa</t>
        </is>
      </c>
      <c r="K802" s="62" t="n">
        <v>46057</v>
      </c>
      <c r="L802" s="67" t="inlineStr">
        <is>
          <t>Renata Francisco Becker</t>
        </is>
      </c>
      <c r="M802" s="40" t="inlineStr">
        <is>
          <t>Cumprido</t>
        </is>
      </c>
      <c r="N802" s="62" t="n">
        <v>46057</v>
      </c>
      <c r="O802" s="67" t="inlineStr">
        <is>
          <t>Revisão</t>
        </is>
      </c>
    </row>
    <row r="803">
      <c r="A803" s="40" t="n"/>
      <c r="B803" s="40" t="inlineStr">
        <is>
          <t>Outras</t>
        </is>
      </c>
      <c r="D803" s="67" t="inlineStr">
        <is>
          <t>Pedro Victor</t>
        </is>
      </c>
      <c r="E803" s="62" t="n">
        <v>45716</v>
      </c>
      <c r="I803" s="67" t="inlineStr"/>
      <c r="J803" s="67" t="inlineStr">
        <is>
          <t>Tarefa</t>
        </is>
      </c>
      <c r="K803" s="62" t="n">
        <v>46057</v>
      </c>
      <c r="L803" s="67" t="inlineStr">
        <is>
          <t>Marelize Controladoria</t>
        </is>
      </c>
      <c r="M803" s="40" t="inlineStr">
        <is>
          <t>Cumprido</t>
        </is>
      </c>
      <c r="N803" s="62" t="n">
        <v>46057</v>
      </c>
      <c r="O803" s="67" t="inlineStr">
        <is>
          <t>04/02/2026 - Conferir prazos no TJs - TJSC - TJRS - TRT12 - TRF4 - JFSC - TJRJ - TJPR - TJPA - TJSP - TJGO;</t>
        </is>
      </c>
    </row>
    <row r="804">
      <c r="A804" s="40" t="inlineStr">
        <is>
          <t>12772/2024</t>
        </is>
      </c>
      <c r="B804" s="40" t="inlineStr">
        <is>
          <t>Outras</t>
        </is>
      </c>
      <c r="D804" s="67" t="inlineStr">
        <is>
          <t>Pedro Victor</t>
        </is>
      </c>
      <c r="E804" s="62" t="n">
        <v>45506</v>
      </c>
      <c r="F804" s="67" t="inlineStr"/>
      <c r="I804" s="67" t="inlineStr"/>
      <c r="J804" s="67" t="inlineStr">
        <is>
          <t>Tarefa</t>
        </is>
      </c>
      <c r="K804" s="62" t="n">
        <v>46057</v>
      </c>
      <c r="L804" s="67" t="inlineStr">
        <is>
          <t>Marelize Controladoria</t>
        </is>
      </c>
      <c r="M804" s="40" t="inlineStr">
        <is>
          <t>Cumprido</t>
        </is>
      </c>
      <c r="N804" s="62" t="n">
        <v>46057</v>
      </c>
      <c r="O804" s="67" t="inlineStr">
        <is>
          <t xml:space="preserve">04/02/2026 - Entrega de relatório mensal dos advogados </t>
        </is>
      </c>
    </row>
    <row r="805">
      <c r="A805" s="40" t="inlineStr">
        <is>
          <t>0305000-14.2014.8.24.0020</t>
        </is>
      </c>
      <c r="B805" s="40" t="inlineStr">
        <is>
          <t>Outras</t>
        </is>
      </c>
      <c r="D805" s="67" t="inlineStr">
        <is>
          <t>Renata Francisco Becker</t>
        </is>
      </c>
      <c r="E805" s="62" t="n">
        <v>45932</v>
      </c>
      <c r="F805" s="67" t="inlineStr"/>
      <c r="I805" s="67" t="inlineStr"/>
      <c r="J805" s="67" t="inlineStr">
        <is>
          <t>Tarefa</t>
        </is>
      </c>
      <c r="K805" s="62" t="n">
        <v>46057</v>
      </c>
      <c r="L805" s="67" t="inlineStr">
        <is>
          <t>Marelize Controladoria</t>
        </is>
      </c>
      <c r="M805" s="40" t="inlineStr">
        <is>
          <t>Cumprido</t>
        </is>
      </c>
      <c r="N805" s="62" t="n">
        <v>46057</v>
      </c>
      <c r="O805" s="67" t="inlineStr">
        <is>
          <t>04/02/2026 - Fazer Agendas.</t>
        </is>
      </c>
    </row>
    <row r="806">
      <c r="A806" s="40" t="inlineStr">
        <is>
          <t>5014916-28.2025.4.04.0000</t>
        </is>
      </c>
      <c r="B806" s="40" t="inlineStr">
        <is>
          <t>Outras</t>
        </is>
      </c>
      <c r="D806" s="67" t="inlineStr">
        <is>
          <t>Renata Francisco Becker</t>
        </is>
      </c>
      <c r="E806" s="62" t="n">
        <v>45797</v>
      </c>
      <c r="F806" s="67" t="inlineStr">
        <is>
          <t>Turma</t>
        </is>
      </c>
      <c r="I806" s="67" t="inlineStr"/>
      <c r="J806" s="67" t="inlineStr">
        <is>
          <t>Tarefa</t>
        </is>
      </c>
      <c r="K806" s="62" t="n">
        <v>46057</v>
      </c>
      <c r="L806" s="67" t="inlineStr">
        <is>
          <t>Marelize Controladoria</t>
        </is>
      </c>
      <c r="M806" s="40" t="inlineStr">
        <is>
          <t>Cumprido</t>
        </is>
      </c>
      <c r="N806" s="62" t="n">
        <v>46057</v>
      </c>
      <c r="O806" s="67" t="inlineStr">
        <is>
          <t>04/02/2026 - Fazer Publicações.</t>
        </is>
      </c>
    </row>
    <row r="807">
      <c r="A807" s="40" t="n"/>
      <c r="B807" s="40" t="inlineStr">
        <is>
          <t>Outras</t>
        </is>
      </c>
      <c r="D807" s="67" t="inlineStr">
        <is>
          <t>Renata Francisco Becker</t>
        </is>
      </c>
      <c r="E807" s="62" t="n">
        <v>45926</v>
      </c>
      <c r="I807" s="67" t="inlineStr"/>
      <c r="J807" s="67" t="inlineStr">
        <is>
          <t>Tarefa</t>
        </is>
      </c>
      <c r="K807" s="62" t="n">
        <v>46057</v>
      </c>
      <c r="L807" s="67" t="inlineStr">
        <is>
          <t>Marelize Controladoria</t>
        </is>
      </c>
      <c r="M807" s="40" t="inlineStr">
        <is>
          <t>Cumprido</t>
        </is>
      </c>
      <c r="N807" s="62" t="n">
        <v>46057</v>
      </c>
      <c r="O807" s="67" t="inlineStr">
        <is>
          <t>04/02/2026 - Olhar E-mails.</t>
        </is>
      </c>
    </row>
    <row r="808">
      <c r="A808" s="40" t="n"/>
      <c r="B808" s="40" t="inlineStr">
        <is>
          <t>Outras</t>
        </is>
      </c>
      <c r="D808" s="67" t="inlineStr">
        <is>
          <t>Renata Francisco Becker</t>
        </is>
      </c>
      <c r="E808" s="62" t="n">
        <v>45936</v>
      </c>
      <c r="I808" s="67" t="inlineStr"/>
      <c r="J808" s="67" t="inlineStr">
        <is>
          <t>Tarefa</t>
        </is>
      </c>
      <c r="K808" s="62" t="n">
        <v>46057</v>
      </c>
      <c r="L808" s="67" t="inlineStr">
        <is>
          <t xml:space="preserve">Lucas </t>
        </is>
      </c>
      <c r="M808" s="40" t="inlineStr">
        <is>
          <t>Cumprido</t>
        </is>
      </c>
      <c r="N808" s="62" t="n">
        <v>46057</v>
      </c>
      <c r="O808" s="67" t="inlineStr">
        <is>
          <t xml:space="preserve">coleta de documentos </t>
        </is>
      </c>
    </row>
    <row r="809">
      <c r="A809" s="40" t="n"/>
      <c r="B809" s="40" t="inlineStr">
        <is>
          <t>Outras</t>
        </is>
      </c>
      <c r="D809" s="67" t="inlineStr">
        <is>
          <t>Renata Francisco Becker</t>
        </is>
      </c>
      <c r="E809" s="62" t="n">
        <v>45936</v>
      </c>
      <c r="I809" s="67" t="inlineStr">
        <is>
          <t>5014179-44.2025.4.04.7204</t>
        </is>
      </c>
      <c r="J809" s="67" t="inlineStr">
        <is>
          <t>Tarefa</t>
        </is>
      </c>
      <c r="K809" s="62" t="n">
        <v>46057</v>
      </c>
      <c r="L809" s="67" t="inlineStr">
        <is>
          <t xml:space="preserve">Lucas </t>
        </is>
      </c>
      <c r="M809" s="40" t="inlineStr">
        <is>
          <t>Cumprido</t>
        </is>
      </c>
      <c r="N809" s="62" t="n">
        <v>46057</v>
      </c>
      <c r="O809" s="67" t="inlineStr">
        <is>
          <t>Elaboração</t>
        </is>
      </c>
    </row>
    <row r="810">
      <c r="A810" s="40" t="inlineStr">
        <is>
          <t>5003866-58.2024.4.04.7204</t>
        </is>
      </c>
      <c r="B810" s="40" t="inlineStr">
        <is>
          <t>Outras</t>
        </is>
      </c>
      <c r="D810" s="67" t="inlineStr">
        <is>
          <t>Renata Francisco Becker</t>
        </is>
      </c>
      <c r="E810" s="62" t="n">
        <v>45512</v>
      </c>
      <c r="F810" s="67" t="inlineStr">
        <is>
          <t>juizado federal</t>
        </is>
      </c>
      <c r="I810" s="67" t="inlineStr">
        <is>
          <t>0000160-12.2025.5.12.0027</t>
        </is>
      </c>
      <c r="J810" s="67" t="inlineStr">
        <is>
          <t>Tarefa</t>
        </is>
      </c>
      <c r="K810" s="62" t="n">
        <v>46057</v>
      </c>
      <c r="L810" s="67" t="inlineStr">
        <is>
          <t>Luci</t>
        </is>
      </c>
      <c r="M810" s="40" t="inlineStr">
        <is>
          <t>Cumprido</t>
        </is>
      </c>
      <c r="N810" s="62" t="n">
        <v>46057</v>
      </c>
      <c r="O810" s="67" t="inlineStr">
        <is>
          <t>Elaboração</t>
        </is>
      </c>
    </row>
    <row r="811">
      <c r="A811" s="40" t="n"/>
      <c r="B811" s="40" t="inlineStr">
        <is>
          <t>Outras</t>
        </is>
      </c>
      <c r="D811" s="67" t="inlineStr">
        <is>
          <t>Renata Francisco Becker</t>
        </is>
      </c>
      <c r="E811" s="62" t="n">
        <v>45933</v>
      </c>
      <c r="I811" s="67" t="inlineStr">
        <is>
          <t>5007011-18.2025.8.24.0020</t>
        </is>
      </c>
      <c r="J811" s="67" t="inlineStr">
        <is>
          <t>Tarefa</t>
        </is>
      </c>
      <c r="K811" s="62" t="n">
        <v>46057</v>
      </c>
      <c r="L811" s="67" t="inlineStr">
        <is>
          <t>Renata Francisco Becker</t>
        </is>
      </c>
      <c r="M811" s="40" t="inlineStr">
        <is>
          <t>Cumprido</t>
        </is>
      </c>
      <c r="N811" s="62" t="n">
        <v>46057</v>
      </c>
      <c r="O811" s="67" t="inlineStr">
        <is>
          <t>Elaboração</t>
        </is>
      </c>
    </row>
    <row r="812">
      <c r="A812" s="40" t="n"/>
      <c r="B812" s="40" t="inlineStr">
        <is>
          <t>Outras</t>
        </is>
      </c>
      <c r="D812" s="67" t="inlineStr">
        <is>
          <t>Renata Francisco Becker</t>
        </is>
      </c>
      <c r="E812" s="62" t="n">
        <v>45838</v>
      </c>
      <c r="I812" s="67" t="inlineStr"/>
      <c r="J812" s="67" t="inlineStr">
        <is>
          <t>Tarefa</t>
        </is>
      </c>
      <c r="K812" s="62" t="n">
        <v>46057</v>
      </c>
      <c r="L812" s="67" t="inlineStr">
        <is>
          <t>Jessica</t>
        </is>
      </c>
      <c r="M812" s="40" t="inlineStr">
        <is>
          <t>Cumprido</t>
        </is>
      </c>
      <c r="N812" s="62" t="n">
        <v>46057</v>
      </c>
      <c r="O812" s="67" t="inlineStr">
        <is>
          <t>Elaboração de clausula tributária</t>
        </is>
      </c>
    </row>
    <row r="813">
      <c r="A813" s="40" t="inlineStr">
        <is>
          <t>5020332-23.2025.8.24.0020</t>
        </is>
      </c>
      <c r="B813" s="40" t="inlineStr">
        <is>
          <t>Outras</t>
        </is>
      </c>
      <c r="D813" s="67" t="inlineStr">
        <is>
          <t>Renata Francisco Becker</t>
        </is>
      </c>
      <c r="E813" s="62" t="n">
        <v>45891</v>
      </c>
      <c r="F813" s="67" t="inlineStr">
        <is>
          <t>2ª Vara Cível</t>
        </is>
      </c>
      <c r="I813" s="67" t="inlineStr"/>
      <c r="J813" s="67" t="inlineStr">
        <is>
          <t>Tarefa</t>
        </is>
      </c>
      <c r="K813" s="62" t="n">
        <v>46057</v>
      </c>
      <c r="L813" s="67" t="inlineStr">
        <is>
          <t xml:space="preserve">Lucas </t>
        </is>
      </c>
      <c r="M813" s="40" t="inlineStr">
        <is>
          <t>Cumprido</t>
        </is>
      </c>
      <c r="N813" s="62" t="n">
        <v>46057</v>
      </c>
      <c r="O813" s="67" t="inlineStr">
        <is>
          <t>Encaminhar novamente a pauta de viagem para motoristas</t>
        </is>
      </c>
    </row>
    <row r="814">
      <c r="A814" s="40" t="inlineStr">
        <is>
          <t>50024980720258240020</t>
        </is>
      </c>
      <c r="B814" s="40" t="inlineStr">
        <is>
          <t>Outras</t>
        </is>
      </c>
      <c r="D814" s="67" t="inlineStr">
        <is>
          <t>Renata Francisco Becker</t>
        </is>
      </c>
      <c r="E814" s="62" t="n">
        <v>45749</v>
      </c>
      <c r="F814" s="67" t="inlineStr"/>
      <c r="I814" s="67" t="inlineStr">
        <is>
          <t>0000149-93.2025.5.12.0055</t>
        </is>
      </c>
      <c r="J814" s="67" t="inlineStr">
        <is>
          <t>Tarefa</t>
        </is>
      </c>
      <c r="K814" s="62" t="n">
        <v>46057</v>
      </c>
      <c r="L814" s="67" t="inlineStr">
        <is>
          <t>Luci</t>
        </is>
      </c>
      <c r="M814" s="40" t="inlineStr">
        <is>
          <t>Cumprido</t>
        </is>
      </c>
      <c r="N814" s="62" t="n">
        <v>46057</v>
      </c>
      <c r="O814" s="67" t="inlineStr">
        <is>
          <t xml:space="preserve">entrar em contato com adv da reclamante e solicitar retirada do polo passivo na demanda pois cumprido o acordo </t>
        </is>
      </c>
    </row>
    <row r="815">
      <c r="A815" s="40" t="inlineStr">
        <is>
          <t>5019428-08.2022.8.24.0020</t>
        </is>
      </c>
      <c r="B815" s="40" t="inlineStr">
        <is>
          <t>Outras</t>
        </is>
      </c>
      <c r="D815" s="67" t="inlineStr">
        <is>
          <t>Renata Francisco Becker</t>
        </is>
      </c>
      <c r="E815" s="62" t="n">
        <v>44805</v>
      </c>
      <c r="F815" s="67" t="inlineStr">
        <is>
          <t>Juízo do Juizado Especial Cível da Comarca de Criciúma</t>
        </is>
      </c>
      <c r="I815" s="67" t="inlineStr"/>
      <c r="J815" s="67" t="inlineStr">
        <is>
          <t>Tarefa</t>
        </is>
      </c>
      <c r="K815" s="62" t="n">
        <v>46057</v>
      </c>
      <c r="L815" s="67" t="inlineStr">
        <is>
          <t>Pedro Victor</t>
        </is>
      </c>
      <c r="M815" s="40" t="inlineStr">
        <is>
          <t>Cumprido</t>
        </is>
      </c>
      <c r="N815" s="62" t="n">
        <v>46057</v>
      </c>
      <c r="O815" s="67" t="inlineStr">
        <is>
          <t xml:space="preserve">lançar venda no financeiro </t>
        </is>
      </c>
    </row>
    <row r="816">
      <c r="A816" s="40" t="inlineStr">
        <is>
          <t>5058664-16.2023.8.24.0930</t>
        </is>
      </c>
      <c r="B816" s="40" t="inlineStr">
        <is>
          <t>Outras</t>
        </is>
      </c>
      <c r="D816" s="67" t="inlineStr">
        <is>
          <t>Renata Francisco Becker</t>
        </is>
      </c>
      <c r="E816" s="62" t="n">
        <v>45257</v>
      </c>
      <c r="F816" s="67" t="inlineStr"/>
      <c r="I816" s="67" t="inlineStr"/>
      <c r="J816" s="67" t="inlineStr">
        <is>
          <t>Tarefa</t>
        </is>
      </c>
      <c r="K816" s="62" t="n">
        <v>46057</v>
      </c>
      <c r="L816" s="67" t="inlineStr">
        <is>
          <t>Pedro Victor</t>
        </is>
      </c>
      <c r="M816" s="40" t="inlineStr">
        <is>
          <t>Cumprido</t>
        </is>
      </c>
      <c r="N816" s="62" t="n">
        <v>46057</v>
      </c>
      <c r="O816" s="67" t="inlineStr">
        <is>
          <t xml:space="preserve">Ligar Crippa </t>
        </is>
      </c>
    </row>
    <row r="817">
      <c r="A817" s="40" t="inlineStr">
        <is>
          <t>5103542-26.2023.8.24.0930</t>
        </is>
      </c>
      <c r="B817" s="40" t="inlineStr">
        <is>
          <t>Outras</t>
        </is>
      </c>
      <c r="D817" s="67" t="inlineStr">
        <is>
          <t>Renata Francisco Becker</t>
        </is>
      </c>
      <c r="E817" s="62" t="n">
        <v>45348</v>
      </c>
      <c r="F817" s="67" t="inlineStr"/>
      <c r="I817" s="67" t="inlineStr"/>
      <c r="J817" s="67" t="inlineStr">
        <is>
          <t>Tarefa</t>
        </is>
      </c>
      <c r="K817" s="62" t="n">
        <v>46057</v>
      </c>
      <c r="L817" s="67" t="inlineStr">
        <is>
          <t>Marelize Controladoria</t>
        </is>
      </c>
      <c r="M817" s="40" t="inlineStr">
        <is>
          <t>Cumprido</t>
        </is>
      </c>
      <c r="N817" s="62" t="n">
        <v>46057</v>
      </c>
      <c r="O817" s="67" t="inlineStr">
        <is>
          <t>Lize, precisamos elaborar uma padronização das pastas, porque pessoal coloca de qualquer jheito, sem identificar sabe....</t>
        </is>
      </c>
    </row>
    <row r="818">
      <c r="A818" s="40" t="n"/>
      <c r="B818" s="40" t="inlineStr">
        <is>
          <t>Outras</t>
        </is>
      </c>
      <c r="D818" s="67" t="inlineStr">
        <is>
          <t>Renata Francisco Becker</t>
        </is>
      </c>
      <c r="E818" s="62" t="n">
        <v>45889</v>
      </c>
      <c r="I818" s="67" t="inlineStr"/>
      <c r="J818" s="67" t="inlineStr">
        <is>
          <t>Tarefa</t>
        </is>
      </c>
      <c r="K818" s="62" t="n">
        <v>46057</v>
      </c>
      <c r="L818" s="67" t="inlineStr">
        <is>
          <t xml:space="preserve">Lucas </t>
        </is>
      </c>
      <c r="M818" s="40" t="inlineStr">
        <is>
          <t>Cumprido</t>
        </is>
      </c>
      <c r="N818" s="62" t="n">
        <v>46057</v>
      </c>
      <c r="O818" s="67" t="inlineStr">
        <is>
          <t>Monitorar super sapiens</t>
        </is>
      </c>
    </row>
    <row r="819">
      <c r="A819" s="40" t="inlineStr">
        <is>
          <t>5045438-47.2025.8.24.0000</t>
        </is>
      </c>
      <c r="B819" s="40" t="inlineStr">
        <is>
          <t>Outras</t>
        </is>
      </c>
      <c r="D819" s="67" t="inlineStr">
        <is>
          <t>Renata Francisco Becker</t>
        </is>
      </c>
      <c r="E819" s="62" t="n">
        <v>45825</v>
      </c>
      <c r="F819" s="67" t="inlineStr"/>
      <c r="I819" s="67" t="inlineStr">
        <is>
          <t>0001666-95.2025.5.12.0003</t>
        </is>
      </c>
      <c r="J819" s="67" t="inlineStr">
        <is>
          <t>Tarefa</t>
        </is>
      </c>
      <c r="K819" s="62" t="n">
        <v>46057</v>
      </c>
      <c r="L819" s="67" t="inlineStr">
        <is>
          <t>Luci</t>
        </is>
      </c>
      <c r="M819" s="40" t="inlineStr">
        <is>
          <t>Cumprido</t>
        </is>
      </c>
      <c r="N819" s="62" t="n">
        <v>46057</v>
      </c>
      <c r="O819" s="67" t="inlineStr">
        <is>
          <t>Preparar cliente para audiencia.</t>
        </is>
      </c>
    </row>
    <row r="820">
      <c r="A820" s="40" t="n"/>
      <c r="B820" s="40" t="inlineStr">
        <is>
          <t>Outras</t>
        </is>
      </c>
      <c r="D820" s="67" t="inlineStr">
        <is>
          <t>Pedro Victor</t>
        </is>
      </c>
      <c r="E820" s="62" t="n">
        <v>45881</v>
      </c>
      <c r="I820" s="67" t="inlineStr">
        <is>
          <t>0000148-36.2026.5.12.0003</t>
        </is>
      </c>
      <c r="J820" s="67" t="inlineStr">
        <is>
          <t>Tarefa</t>
        </is>
      </c>
      <c r="K820" s="62" t="n">
        <v>46057</v>
      </c>
      <c r="L820" s="67" t="inlineStr">
        <is>
          <t>Pedro Victor</t>
        </is>
      </c>
      <c r="M820" s="40" t="inlineStr">
        <is>
          <t>Cumprido</t>
        </is>
      </c>
      <c r="N820" s="62" t="n">
        <v>46057</v>
      </c>
      <c r="O820" s="67" t="inlineStr">
        <is>
          <t>Protocolo</t>
        </is>
      </c>
    </row>
    <row r="821">
      <c r="A821" s="40" t="n"/>
      <c r="B821" s="40" t="inlineStr">
        <is>
          <t>Outras</t>
        </is>
      </c>
      <c r="D821" s="67" t="inlineStr">
        <is>
          <t>Renata Francisco Becker</t>
        </is>
      </c>
      <c r="E821" s="62" t="n">
        <v>45856</v>
      </c>
      <c r="I821" s="67" t="inlineStr">
        <is>
          <t>50736220720238240930</t>
        </is>
      </c>
      <c r="J821" s="67" t="inlineStr">
        <is>
          <t>Tarefa</t>
        </is>
      </c>
      <c r="K821" s="62" t="n">
        <v>46057</v>
      </c>
      <c r="L821" s="67" t="inlineStr">
        <is>
          <t>Renata Francisco Becker</t>
        </is>
      </c>
      <c r="M821" s="40" t="inlineStr">
        <is>
          <t>Cumprido</t>
        </is>
      </c>
      <c r="N821" s="62" t="n">
        <v>46057</v>
      </c>
      <c r="O821" s="67" t="inlineStr">
        <is>
          <t>Protocolo</t>
        </is>
      </c>
    </row>
    <row r="822">
      <c r="A822" s="40" t="n"/>
      <c r="B822" s="40" t="inlineStr">
        <is>
          <t>Outras</t>
        </is>
      </c>
      <c r="D822" s="67" t="inlineStr">
        <is>
          <t>Renata Francisco Becker</t>
        </is>
      </c>
      <c r="E822" s="62" t="n">
        <v>45930</v>
      </c>
      <c r="I822" s="67" t="inlineStr">
        <is>
          <t>51288000420248240930</t>
        </is>
      </c>
      <c r="J822" s="67" t="inlineStr">
        <is>
          <t>Tarefa</t>
        </is>
      </c>
      <c r="K822" s="62" t="n">
        <v>46057</v>
      </c>
      <c r="L822" s="67" t="inlineStr">
        <is>
          <t>Renata Francisco Becker</t>
        </is>
      </c>
      <c r="M822" s="40" t="inlineStr">
        <is>
          <t>Cumprido</t>
        </is>
      </c>
      <c r="N822" s="62" t="n">
        <v>46057</v>
      </c>
      <c r="O822" s="67" t="inlineStr">
        <is>
          <t>Protocolo</t>
        </is>
      </c>
    </row>
    <row r="823">
      <c r="A823" s="40" t="n"/>
      <c r="B823" s="40" t="inlineStr">
        <is>
          <t>Outras</t>
        </is>
      </c>
      <c r="D823" s="67" t="inlineStr">
        <is>
          <t>Renata Francisco Becker</t>
        </is>
      </c>
      <c r="E823" s="62" t="n">
        <v>45875</v>
      </c>
      <c r="I823" s="67" t="inlineStr"/>
      <c r="J823" s="67" t="inlineStr">
        <is>
          <t>Tarefa</t>
        </is>
      </c>
      <c r="K823" s="62" t="n">
        <v>46057</v>
      </c>
      <c r="L823" s="67" t="inlineStr">
        <is>
          <t xml:space="preserve">Lucas </t>
        </is>
      </c>
      <c r="M823" s="40" t="inlineStr">
        <is>
          <t>Cumprido</t>
        </is>
      </c>
      <c r="N823" s="62" t="n">
        <v>46057</v>
      </c>
      <c r="O823" s="67" t="inlineStr">
        <is>
          <t xml:space="preserve">RETORNO CLIENTE - Expresso Imbituba
</t>
        </is>
      </c>
    </row>
    <row r="824">
      <c r="A824" s="40" t="inlineStr">
        <is>
          <t>50087843520248240020</t>
        </is>
      </c>
      <c r="B824" s="40" t="inlineStr">
        <is>
          <t>Outras</t>
        </is>
      </c>
      <c r="D824" s="67" t="inlineStr">
        <is>
          <t>Renata Francisco Becker</t>
        </is>
      </c>
      <c r="E824" s="62" t="n">
        <v>45628</v>
      </c>
      <c r="F824" s="67" t="inlineStr"/>
      <c r="I824" s="67" t="inlineStr"/>
      <c r="J824" s="67" t="inlineStr">
        <is>
          <t>Tarefa</t>
        </is>
      </c>
      <c r="K824" s="62" t="n">
        <v>46057</v>
      </c>
      <c r="L824" s="67" t="inlineStr">
        <is>
          <t xml:space="preserve">Lucas </t>
        </is>
      </c>
      <c r="M824" s="40" t="inlineStr">
        <is>
          <t>Cumprido</t>
        </is>
      </c>
      <c r="N824" s="62" t="n">
        <v>46057</v>
      </c>
      <c r="O824" s="67" t="inlineStr">
        <is>
          <t xml:space="preserve">retorno para o cliente do encaminhamento a ser dado </t>
        </is>
      </c>
    </row>
    <row r="825">
      <c r="A825" s="40" t="n"/>
      <c r="B825" s="40" t="inlineStr">
        <is>
          <t>Outras</t>
        </is>
      </c>
      <c r="D825" s="67" t="inlineStr">
        <is>
          <t>Renata Francisco Becker</t>
        </is>
      </c>
      <c r="E825" s="62" t="n">
        <v>45925</v>
      </c>
      <c r="I825" s="67" t="inlineStr"/>
      <c r="J825" s="67" t="inlineStr">
        <is>
          <t>Evento</t>
        </is>
      </c>
      <c r="K825" s="62" t="n">
        <v>46057</v>
      </c>
      <c r="L825" s="67" t="inlineStr">
        <is>
          <t>Renata Francisco Becker</t>
        </is>
      </c>
      <c r="M825" s="40" t="inlineStr">
        <is>
          <t>Cumprido</t>
        </is>
      </c>
      <c r="N825" s="62" t="n">
        <v>46057</v>
      </c>
      <c r="O825" s="67" t="inlineStr">
        <is>
          <t xml:space="preserve">Atendiemtno Makoy </t>
        </is>
      </c>
    </row>
    <row r="826">
      <c r="A826" s="40" t="n"/>
      <c r="B826" s="40" t="inlineStr">
        <is>
          <t>Outras</t>
        </is>
      </c>
      <c r="D826" s="67" t="inlineStr">
        <is>
          <t>Renata Francisco Becker</t>
        </is>
      </c>
      <c r="E826" s="62" t="n">
        <v>45734</v>
      </c>
      <c r="I826" s="67" t="inlineStr">
        <is>
          <t>0001666-95.2025.5.12.0003</t>
        </is>
      </c>
      <c r="J826" s="67" t="inlineStr">
        <is>
          <t>Audiência</t>
        </is>
      </c>
      <c r="K826" s="62" t="n">
        <v>46057</v>
      </c>
      <c r="L826" s="67" t="inlineStr">
        <is>
          <t>Luci</t>
        </is>
      </c>
      <c r="M826" s="40" t="inlineStr">
        <is>
          <t>Cumprido</t>
        </is>
      </c>
      <c r="N826" s="62" t="n">
        <v>46057</v>
      </c>
      <c r="O826" s="67" t="inlineStr">
        <is>
          <t>Aud. Homologação do Acordo MILLENIUM PERFURACAO x GERIVALDO MENDES</t>
        </is>
      </c>
    </row>
    <row r="827">
      <c r="A827" s="40" t="inlineStr">
        <is>
          <t>0300143-09.2018.8.24.0076</t>
        </is>
      </c>
      <c r="B827" s="40" t="inlineStr">
        <is>
          <t>Outras</t>
        </is>
      </c>
      <c r="D827" s="67" t="inlineStr">
        <is>
          <t>Renata Francisco Becker</t>
        </is>
      </c>
      <c r="E827" s="62" t="n">
        <v>45527</v>
      </c>
      <c r="F827" s="67" t="inlineStr">
        <is>
          <t>Juízo da Vara Única da Comarca de Turvo</t>
        </is>
      </c>
      <c r="I827" s="67" t="inlineStr"/>
      <c r="J827" s="67" t="inlineStr">
        <is>
          <t>Evento</t>
        </is>
      </c>
      <c r="K827" s="62" t="n">
        <v>46057</v>
      </c>
      <c r="L827" s="67" t="inlineStr">
        <is>
          <t>Marelize Controladoria</t>
        </is>
      </c>
      <c r="M827" s="40" t="inlineStr">
        <is>
          <t>Cumprido</t>
        </is>
      </c>
      <c r="N827" s="62" t="n">
        <v>46057</v>
      </c>
      <c r="O827" s="67" t="inlineStr">
        <is>
          <t>Reunião controladoria</t>
        </is>
      </c>
    </row>
    <row r="828">
      <c r="A828" s="40" t="inlineStr">
        <is>
          <t>5014366-79.2025.8.24.0020</t>
        </is>
      </c>
      <c r="B828" s="40" t="inlineStr">
        <is>
          <t>Outras</t>
        </is>
      </c>
      <c r="D828" s="67" t="inlineStr">
        <is>
          <t>Renata Francisco Becker</t>
        </is>
      </c>
      <c r="E828" s="62" t="n">
        <v>45826</v>
      </c>
      <c r="F828" s="67" t="inlineStr">
        <is>
          <t>1° VARA CIVEL</t>
        </is>
      </c>
      <c r="I828" s="67" t="inlineStr"/>
      <c r="J828" s="67" t="inlineStr">
        <is>
          <t>Evento</t>
        </is>
      </c>
      <c r="K828" s="62" t="n">
        <v>46057</v>
      </c>
      <c r="L828" s="67" t="inlineStr">
        <is>
          <t>Pedro Victor</t>
        </is>
      </c>
      <c r="M828" s="40" t="inlineStr">
        <is>
          <t>Cumprido</t>
        </is>
      </c>
      <c r="N828" s="62" t="n">
        <v>46057</v>
      </c>
      <c r="O828" s="67" t="inlineStr">
        <is>
          <t>MP (prazo do processo do Caleb)</t>
        </is>
      </c>
    </row>
    <row r="829">
      <c r="A829" s="40" t="n"/>
      <c r="B829" s="40" t="inlineStr">
        <is>
          <t>Outras</t>
        </is>
      </c>
      <c r="D829" s="67" t="inlineStr">
        <is>
          <t>Renata Francisco Becker</t>
        </is>
      </c>
      <c r="E829" s="62" t="n">
        <v>45891</v>
      </c>
      <c r="I829" s="67" t="inlineStr">
        <is>
          <t>5031380-76.2025.8.24.0020</t>
        </is>
      </c>
      <c r="J829" s="67" t="inlineStr">
        <is>
          <t>Prazo</t>
        </is>
      </c>
      <c r="K829" s="62" t="n">
        <v>46058</v>
      </c>
      <c r="L829" s="67" t="inlineStr">
        <is>
          <t>Jessica</t>
        </is>
      </c>
      <c r="M829" s="40" t="inlineStr">
        <is>
          <t>Cumprido</t>
        </is>
      </c>
      <c r="N829" s="62" t="n">
        <v>46058</v>
      </c>
      <c r="O829" s="67" t="inlineStr">
        <is>
          <t>Agravo de instrumento (INDEF AJG)</t>
        </is>
      </c>
    </row>
    <row r="830">
      <c r="A830" s="40" t="inlineStr">
        <is>
          <t>5016985-84.2022.8.24.0020</t>
        </is>
      </c>
      <c r="B830" s="40" t="inlineStr">
        <is>
          <t>Outras</t>
        </is>
      </c>
      <c r="D830" s="67" t="inlineStr">
        <is>
          <t>Renata Francisco Becker</t>
        </is>
      </c>
      <c r="E830" s="62" t="n">
        <v>44818</v>
      </c>
      <c r="F830" s="67" t="inlineStr">
        <is>
          <t>1</t>
        </is>
      </c>
      <c r="I830" s="67" t="inlineStr"/>
      <c r="J830" s="67" t="inlineStr">
        <is>
          <t>Prazo</t>
        </is>
      </c>
      <c r="K830" s="62" t="n">
        <v>46058</v>
      </c>
      <c r="L830" s="67" t="inlineStr">
        <is>
          <t xml:space="preserve">Lucas </t>
        </is>
      </c>
      <c r="M830" s="40" t="inlineStr">
        <is>
          <t>Cumprido</t>
        </is>
      </c>
      <c r="N830" s="62" t="n">
        <v>46058</v>
      </c>
      <c r="O830" s="67" t="inlineStr">
        <is>
          <t>Analisar a CCT da MMC</t>
        </is>
      </c>
    </row>
    <row r="831">
      <c r="A831" s="40" t="n"/>
      <c r="B831" s="40" t="inlineStr">
        <is>
          <t>Outras</t>
        </is>
      </c>
      <c r="D831" s="67" t="inlineStr">
        <is>
          <t>Renata Francisco Becker</t>
        </is>
      </c>
      <c r="E831" s="62" t="n">
        <v>45909</v>
      </c>
      <c r="I831" s="67" t="inlineStr"/>
      <c r="J831" s="67" t="inlineStr">
        <is>
          <t>Prazo</t>
        </is>
      </c>
      <c r="K831" s="62" t="n">
        <v>46058</v>
      </c>
      <c r="L831" s="67" t="inlineStr">
        <is>
          <t xml:space="preserve">Lucas </t>
        </is>
      </c>
      <c r="M831" s="40" t="inlineStr">
        <is>
          <t>Cumprido</t>
        </is>
      </c>
      <c r="N831" s="62" t="n">
        <v>46058</v>
      </c>
      <c r="O831" s="67" t="inlineStr">
        <is>
          <t>Analises de multa de ANTT Perdoná</t>
        </is>
      </c>
    </row>
    <row r="832">
      <c r="A832" s="40" t="inlineStr">
        <is>
          <t>0304856-30.2018.8.24.0075</t>
        </is>
      </c>
      <c r="B832" s="40" t="inlineStr">
        <is>
          <t>Outras</t>
        </is>
      </c>
      <c r="D832" s="67" t="inlineStr">
        <is>
          <t>Renata Francisco Becker</t>
        </is>
      </c>
      <c r="E832" s="62" t="n">
        <v>44859</v>
      </c>
      <c r="F832" s="67" t="inlineStr">
        <is>
          <t>Juízo da 3ª Vara Cível da Comarca de Tubarão</t>
        </is>
      </c>
      <c r="I832" s="67" t="inlineStr"/>
      <c r="J832" s="67" t="inlineStr">
        <is>
          <t>Prazo</t>
        </is>
      </c>
      <c r="K832" s="62" t="n">
        <v>46058</v>
      </c>
      <c r="L832" s="67" t="inlineStr">
        <is>
          <t>Jessica</t>
        </is>
      </c>
      <c r="M832" s="40" t="inlineStr">
        <is>
          <t>Cumprido</t>
        </is>
      </c>
      <c r="N832" s="62" t="n">
        <v>46058</v>
      </c>
      <c r="O832" s="67" t="inlineStr">
        <is>
          <t>Atualizar a renovação INIPI da marca Vonsher</t>
        </is>
      </c>
    </row>
    <row r="833">
      <c r="A833" s="40" t="n"/>
      <c r="B833" s="40" t="inlineStr">
        <is>
          <t>Outras</t>
        </is>
      </c>
      <c r="D833" s="67" t="inlineStr">
        <is>
          <t>Renata Francisco Becker</t>
        </is>
      </c>
      <c r="E833" s="62" t="n">
        <v>45887</v>
      </c>
      <c r="I833" s="67" t="inlineStr">
        <is>
          <t>01560009520055120033</t>
        </is>
      </c>
      <c r="J833" s="67" t="inlineStr">
        <is>
          <t>Prazo</t>
        </is>
      </c>
      <c r="K833" s="62" t="n">
        <v>46058</v>
      </c>
      <c r="L833" s="67" t="inlineStr">
        <is>
          <t>Luci</t>
        </is>
      </c>
      <c r="M833" s="40" t="inlineStr">
        <is>
          <t>Cumprido</t>
        </is>
      </c>
      <c r="N833" s="62" t="n">
        <v>46058</v>
      </c>
      <c r="O833" s="67" t="inlineStr">
        <is>
          <t>Prazo</t>
        </is>
      </c>
    </row>
    <row r="834">
      <c r="A834" s="40" t="n"/>
      <c r="B834" s="40" t="inlineStr">
        <is>
          <t>Outras</t>
        </is>
      </c>
      <c r="D834" s="67" t="inlineStr">
        <is>
          <t>Renata Francisco Becker</t>
        </is>
      </c>
      <c r="E834" s="62" t="n">
        <v>45898</v>
      </c>
      <c r="I834" s="67" t="inlineStr">
        <is>
          <t>00001865320235120003</t>
        </is>
      </c>
      <c r="J834" s="67" t="inlineStr">
        <is>
          <t>Prazo</t>
        </is>
      </c>
      <c r="K834" s="62" t="n">
        <v>46058</v>
      </c>
      <c r="L834" s="67" t="inlineStr">
        <is>
          <t>Luci</t>
        </is>
      </c>
      <c r="M834" s="40" t="inlineStr">
        <is>
          <t>Cumprido</t>
        </is>
      </c>
      <c r="N834" s="62" t="n">
        <v>46058</v>
      </c>
      <c r="O834" s="67" t="inlineStr">
        <is>
          <t>Prazo</t>
        </is>
      </c>
    </row>
    <row r="835">
      <c r="A835" s="40" t="inlineStr">
        <is>
          <t>5006066-77.2020.4.04.7204</t>
        </is>
      </c>
      <c r="B835" s="40" t="inlineStr">
        <is>
          <t>Outras</t>
        </is>
      </c>
      <c r="D835" s="67" t="inlineStr">
        <is>
          <t>Renata Francisco Becker</t>
        </is>
      </c>
      <c r="E835" s="62" t="n">
        <v>44802</v>
      </c>
      <c r="F835" s="67" t="inlineStr">
        <is>
          <t>Juízo Substituto da 1ª VF de Tubarão</t>
        </is>
      </c>
      <c r="I835" s="67" t="inlineStr">
        <is>
          <t>0000994-78.2025.5.12.0006</t>
        </is>
      </c>
      <c r="J835" s="67" t="inlineStr">
        <is>
          <t>Prazo</t>
        </is>
      </c>
      <c r="K835" s="62" t="n">
        <v>46058</v>
      </c>
      <c r="L835" s="67" t="inlineStr">
        <is>
          <t>Luci</t>
        </is>
      </c>
      <c r="M835" s="40" t="inlineStr">
        <is>
          <t>Cumprido</t>
        </is>
      </c>
      <c r="N835" s="62" t="n">
        <v>46058</v>
      </c>
      <c r="O835" s="67" t="inlineStr">
        <is>
          <t>Prazo</t>
        </is>
      </c>
    </row>
    <row r="836">
      <c r="A836" s="40" t="inlineStr">
        <is>
          <t>5004207-26.2020.4.04.7204</t>
        </is>
      </c>
      <c r="B836" s="40" t="inlineStr">
        <is>
          <t>Outras</t>
        </is>
      </c>
      <c r="D836" s="67" t="inlineStr">
        <is>
          <t>Renata Francisco Becker</t>
        </is>
      </c>
      <c r="E836" s="62" t="n">
        <v>44802</v>
      </c>
      <c r="F836" s="67" t="inlineStr">
        <is>
          <t>Juízo Federal da 1ª VF de Tubarão</t>
        </is>
      </c>
      <c r="I836" s="67" t="inlineStr">
        <is>
          <t>00004261720225120055</t>
        </is>
      </c>
      <c r="J836" s="67" t="inlineStr">
        <is>
          <t>Prazo</t>
        </is>
      </c>
      <c r="K836" s="62" t="n">
        <v>46058</v>
      </c>
      <c r="L836" s="67" t="inlineStr">
        <is>
          <t>Luci</t>
        </is>
      </c>
      <c r="M836" s="40" t="inlineStr">
        <is>
          <t>Cumprido</t>
        </is>
      </c>
      <c r="N836" s="62" t="n">
        <v>46058</v>
      </c>
      <c r="O836" s="67" t="inlineStr">
        <is>
          <t>Prazo</t>
        </is>
      </c>
    </row>
    <row r="837">
      <c r="A837" s="40" t="inlineStr">
        <is>
          <t>5006069-32.2020.4.04.7204</t>
        </is>
      </c>
      <c r="B837" s="40" t="inlineStr">
        <is>
          <t>Outras</t>
        </is>
      </c>
      <c r="D837" s="67" t="inlineStr">
        <is>
          <t>Renata Francisco Becker</t>
        </is>
      </c>
      <c r="E837" s="62" t="n">
        <v>44802</v>
      </c>
      <c r="F837" s="67" t="inlineStr">
        <is>
          <t>Juízo Federal da 1ª VF de Tubarão</t>
        </is>
      </c>
      <c r="I837" s="67" t="inlineStr">
        <is>
          <t>5014179-44.2025.4.04.7204</t>
        </is>
      </c>
      <c r="J837" s="67" t="inlineStr">
        <is>
          <t>Prazo</t>
        </is>
      </c>
      <c r="K837" s="62" t="n">
        <v>46058</v>
      </c>
      <c r="L837" s="67" t="inlineStr">
        <is>
          <t xml:space="preserve">Lucas </t>
        </is>
      </c>
      <c r="M837" s="40" t="inlineStr">
        <is>
          <t>Cumprido</t>
        </is>
      </c>
      <c r="N837" s="62" t="n">
        <v>46058</v>
      </c>
      <c r="O837" s="67" t="inlineStr">
        <is>
          <t>Prazo réplica</t>
        </is>
      </c>
    </row>
    <row r="838">
      <c r="A838" s="40" t="inlineStr">
        <is>
          <t>5004198-64.2020.4.04.7204</t>
        </is>
      </c>
      <c r="B838" s="40" t="inlineStr">
        <is>
          <t>Outras</t>
        </is>
      </c>
      <c r="D838" s="67" t="inlineStr">
        <is>
          <t>Renata Francisco Becker</t>
        </is>
      </c>
      <c r="E838" s="62" t="n">
        <v>44802</v>
      </c>
      <c r="F838" s="67" t="inlineStr">
        <is>
          <t>Juízo Federal da 1ª VF de Tubarão</t>
        </is>
      </c>
      <c r="I838" s="67" t="inlineStr">
        <is>
          <t>5029750-82.2025.8.24.0020</t>
        </is>
      </c>
      <c r="J838" s="67" t="inlineStr">
        <is>
          <t>Prazo</t>
        </is>
      </c>
      <c r="K838" s="62" t="n">
        <v>46058</v>
      </c>
      <c r="L838" s="67" t="inlineStr">
        <is>
          <t>Luci</t>
        </is>
      </c>
      <c r="M838" s="40" t="inlineStr">
        <is>
          <t>Cumprido</t>
        </is>
      </c>
      <c r="N838" s="62" t="n">
        <v>46058</v>
      </c>
      <c r="O838" s="67" t="inlineStr">
        <is>
          <t>Prazo réplica ambiental</t>
        </is>
      </c>
    </row>
    <row r="839">
      <c r="A839" s="40" t="inlineStr">
        <is>
          <t>5010663-89.2020.4.04.7204</t>
        </is>
      </c>
      <c r="B839" s="40" t="inlineStr">
        <is>
          <t>Outras</t>
        </is>
      </c>
      <c r="D839" s="67" t="inlineStr">
        <is>
          <t>Renata Francisco Becker</t>
        </is>
      </c>
      <c r="E839" s="62" t="n">
        <v>44725</v>
      </c>
      <c r="F839" s="67" t="inlineStr">
        <is>
          <t>Juízo Substituto da 4ª VF de Criciúma</t>
        </is>
      </c>
      <c r="I839" s="67" t="inlineStr">
        <is>
          <t>50269221620258240020</t>
        </is>
      </c>
      <c r="J839" s="67" t="inlineStr">
        <is>
          <t>Prazo</t>
        </is>
      </c>
      <c r="K839" s="62" t="n">
        <v>46058</v>
      </c>
      <c r="L839" s="67" t="inlineStr">
        <is>
          <t>Luci</t>
        </is>
      </c>
      <c r="M839" s="40" t="inlineStr">
        <is>
          <t>Cumprido</t>
        </is>
      </c>
      <c r="N839" s="62" t="n">
        <v>46058</v>
      </c>
      <c r="O839" s="67" t="inlineStr">
        <is>
          <t>Prazo réplica ambiental</t>
        </is>
      </c>
    </row>
    <row r="840">
      <c r="A840" s="40" t="inlineStr">
        <is>
          <t>5004210-78.2020.4.04.7204</t>
        </is>
      </c>
      <c r="B840" s="40" t="inlineStr">
        <is>
          <t>Outras</t>
        </is>
      </c>
      <c r="D840" s="67" t="inlineStr">
        <is>
          <t>Renata Francisco Becker</t>
        </is>
      </c>
      <c r="E840" s="62" t="n">
        <v>44802</v>
      </c>
      <c r="F840" s="67" t="inlineStr">
        <is>
          <t>Juízo Substituto da 1ª VF de Tubarão</t>
        </is>
      </c>
      <c r="I840" s="67" t="inlineStr"/>
      <c r="J840" s="67" t="inlineStr">
        <is>
          <t>Tarefa</t>
        </is>
      </c>
      <c r="K840" s="62" t="n">
        <v>46058</v>
      </c>
      <c r="L840" s="67" t="inlineStr">
        <is>
          <t>Renata Francisco Becker</t>
        </is>
      </c>
      <c r="M840" s="40" t="inlineStr">
        <is>
          <t>Cumprido</t>
        </is>
      </c>
      <c r="N840" s="62" t="n">
        <v>46058</v>
      </c>
      <c r="O840" s="67" t="inlineStr">
        <is>
          <t>Revisão</t>
        </is>
      </c>
    </row>
    <row r="841">
      <c r="A841" s="40" t="inlineStr">
        <is>
          <t>5006065-92.2020.4.04.7204</t>
        </is>
      </c>
      <c r="B841" s="40" t="inlineStr">
        <is>
          <t>Outras</t>
        </is>
      </c>
      <c r="D841" s="67" t="inlineStr">
        <is>
          <t>Renata Francisco Becker</t>
        </is>
      </c>
      <c r="E841" s="62" t="n">
        <v>44802</v>
      </c>
      <c r="F841" s="67" t="inlineStr">
        <is>
          <t>Juízo Substituto da 1ª VF de Tubarão</t>
        </is>
      </c>
      <c r="I841" s="67" t="inlineStr">
        <is>
          <t>0001450-62.2025.5.12.0027</t>
        </is>
      </c>
      <c r="J841" s="67" t="inlineStr">
        <is>
          <t>Tarefa</t>
        </is>
      </c>
      <c r="K841" s="62" t="n">
        <v>46058</v>
      </c>
      <c r="L841" s="67" t="inlineStr">
        <is>
          <t>Pedro Victor</t>
        </is>
      </c>
      <c r="M841" s="40" t="inlineStr">
        <is>
          <t>Cumprido</t>
        </is>
      </c>
      <c r="N841" s="62" t="n">
        <v>46058</v>
      </c>
      <c r="O841" s="67" t="inlineStr">
        <is>
          <t>Revisão</t>
        </is>
      </c>
    </row>
    <row r="842">
      <c r="A842" s="40" t="inlineStr">
        <is>
          <t>5004201-19.2020.4.04.7204</t>
        </is>
      </c>
      <c r="B842" s="40" t="inlineStr">
        <is>
          <t>Outras</t>
        </is>
      </c>
      <c r="D842" s="67" t="inlineStr">
        <is>
          <t>Renata Francisco Becker</t>
        </is>
      </c>
      <c r="E842" s="62" t="n">
        <v>44802</v>
      </c>
      <c r="F842" s="67" t="inlineStr">
        <is>
          <t>Juízo Federal da 1ª VF de Tubarão</t>
        </is>
      </c>
      <c r="I842" s="67" t="inlineStr"/>
      <c r="J842" s="67" t="inlineStr">
        <is>
          <t>Tarefa</t>
        </is>
      </c>
      <c r="K842" s="62" t="n">
        <v>46058</v>
      </c>
      <c r="L842" s="67" t="inlineStr">
        <is>
          <t xml:space="preserve">Lucas </t>
        </is>
      </c>
      <c r="M842" s="40" t="inlineStr">
        <is>
          <t>Cumprido</t>
        </is>
      </c>
      <c r="N842" s="62" t="n">
        <v>46058</v>
      </c>
      <c r="O842" s="67" t="inlineStr">
        <is>
          <t>Revisão (Documentos de implementação)</t>
        </is>
      </c>
    </row>
    <row r="843">
      <c r="A843" s="40" t="n"/>
      <c r="B843" s="40" t="inlineStr">
        <is>
          <t>Outras</t>
        </is>
      </c>
      <c r="D843" s="67" t="inlineStr">
        <is>
          <t>Renata Francisco Becker</t>
        </is>
      </c>
      <c r="E843" s="62" t="n">
        <v>45922</v>
      </c>
      <c r="I843" s="67" t="inlineStr"/>
      <c r="J843" s="67" t="inlineStr">
        <is>
          <t>Tarefa</t>
        </is>
      </c>
      <c r="K843" s="62" t="n">
        <v>46058</v>
      </c>
      <c r="L843" s="67" t="inlineStr">
        <is>
          <t>Marelize Controladoria</t>
        </is>
      </c>
      <c r="M843" s="40" t="inlineStr">
        <is>
          <t>Cumprido</t>
        </is>
      </c>
      <c r="N843" s="62" t="n">
        <v>46058</v>
      </c>
      <c r="O843" s="67" t="inlineStr">
        <is>
          <t>05/02/2026 - Conferir prazos no TJs - TJSC - TJRS - TRT12 - TRF4 - JFSC - TJRJ - TJPR - TJPA - TJSP - TJGO;</t>
        </is>
      </c>
    </row>
    <row r="844">
      <c r="A844" s="40" t="n"/>
      <c r="B844" s="40" t="inlineStr">
        <is>
          <t>Outras</t>
        </is>
      </c>
      <c r="D844" s="67" t="inlineStr">
        <is>
          <t>Renata Francisco Becker</t>
        </is>
      </c>
      <c r="E844" s="62" t="n">
        <v>45912</v>
      </c>
      <c r="I844" s="67" t="inlineStr"/>
      <c r="J844" s="67" t="inlineStr">
        <is>
          <t>Tarefa</t>
        </is>
      </c>
      <c r="K844" s="62" t="n">
        <v>46058</v>
      </c>
      <c r="L844" s="67" t="inlineStr">
        <is>
          <t>Marelize Controladoria</t>
        </is>
      </c>
      <c r="M844" s="40" t="inlineStr">
        <is>
          <t>Cumprido</t>
        </is>
      </c>
      <c r="N844" s="62" t="n">
        <v>46058</v>
      </c>
      <c r="O844" s="67" t="inlineStr">
        <is>
          <t>05/02/2026 - Fazer Agendas.</t>
        </is>
      </c>
    </row>
    <row r="845">
      <c r="A845" s="40" t="inlineStr">
        <is>
          <t>5004212-48.2020.4.04.7204</t>
        </is>
      </c>
      <c r="B845" s="40" t="inlineStr">
        <is>
          <t>Outras</t>
        </is>
      </c>
      <c r="D845" s="67" t="inlineStr">
        <is>
          <t>Renata Francisco Becker</t>
        </is>
      </c>
      <c r="E845" s="62" t="n">
        <v>44802</v>
      </c>
      <c r="F845" s="67" t="inlineStr">
        <is>
          <t>Juízo Substituto da 1ª VF de Tubarão</t>
        </is>
      </c>
      <c r="I845" s="67" t="inlineStr"/>
      <c r="J845" s="67" t="inlineStr">
        <is>
          <t>Tarefa</t>
        </is>
      </c>
      <c r="K845" s="62" t="n">
        <v>46058</v>
      </c>
      <c r="L845" s="67" t="inlineStr">
        <is>
          <t>Marelize Controladoria</t>
        </is>
      </c>
      <c r="M845" s="40" t="inlineStr">
        <is>
          <t>Cumprido</t>
        </is>
      </c>
      <c r="N845" s="62" t="n">
        <v>46058</v>
      </c>
      <c r="O845" s="67" t="inlineStr">
        <is>
          <t>05/02/2026 - Fazer Publicações.</t>
        </is>
      </c>
    </row>
    <row r="846">
      <c r="A846" s="40" t="n"/>
      <c r="B846" s="40" t="inlineStr">
        <is>
          <t>Outras</t>
        </is>
      </c>
      <c r="D846" s="67" t="inlineStr">
        <is>
          <t>Renata Francisco Becker</t>
        </is>
      </c>
      <c r="E846" s="62" t="n">
        <v>45915</v>
      </c>
      <c r="I846" s="67" t="inlineStr"/>
      <c r="J846" s="67" t="inlineStr">
        <is>
          <t>Tarefa</t>
        </is>
      </c>
      <c r="K846" s="62" t="n">
        <v>46058</v>
      </c>
      <c r="L846" s="67" t="inlineStr">
        <is>
          <t>Marelize Controladoria</t>
        </is>
      </c>
      <c r="M846" s="40" t="inlineStr">
        <is>
          <t>Cumprido</t>
        </is>
      </c>
      <c r="N846" s="62" t="n">
        <v>46058</v>
      </c>
      <c r="O846" s="67" t="inlineStr">
        <is>
          <t>05/02/2026 - Olhar E-mails.</t>
        </is>
      </c>
    </row>
    <row r="847">
      <c r="A847" s="40" t="inlineStr">
        <is>
          <t>5012501-21.2025.8.24.0020</t>
        </is>
      </c>
      <c r="B847" s="40" t="inlineStr">
        <is>
          <t>Outras</t>
        </is>
      </c>
      <c r="D847" s="67" t="inlineStr">
        <is>
          <t>Renata Francisco Becker</t>
        </is>
      </c>
      <c r="E847" s="62" t="n">
        <v>45841</v>
      </c>
      <c r="F847" s="67" t="inlineStr"/>
      <c r="I847" s="67" t="inlineStr"/>
      <c r="J847" s="67" t="inlineStr">
        <is>
          <t>Tarefa</t>
        </is>
      </c>
      <c r="K847" s="62" t="n">
        <v>46058</v>
      </c>
      <c r="L847" s="67" t="inlineStr">
        <is>
          <t>Jessica</t>
        </is>
      </c>
      <c r="M847" s="40" t="inlineStr">
        <is>
          <t>Cumprido</t>
        </is>
      </c>
      <c r="N847" s="62" t="n">
        <v>46058</v>
      </c>
      <c r="O847" s="67" t="inlineStr">
        <is>
          <t>24/01/2026 - EMITIR GUIAS TRANSAÇÃO SIDNEI - portal Regularize - enviar até dia 27 de cada mês</t>
        </is>
      </c>
    </row>
    <row r="848">
      <c r="A848" s="40" t="inlineStr">
        <is>
          <t>5028103-37.2025.4.04.7200</t>
        </is>
      </c>
      <c r="B848" s="40" t="inlineStr">
        <is>
          <t>Outras</t>
        </is>
      </c>
      <c r="D848" s="67" t="inlineStr">
        <is>
          <t>Renata Francisco Becker</t>
        </is>
      </c>
      <c r="E848" s="62" t="n">
        <v>45861</v>
      </c>
      <c r="F848" s="67" t="inlineStr"/>
      <c r="I848" s="67" t="inlineStr">
        <is>
          <t>0000059-93.2026.5.12.0041</t>
        </is>
      </c>
      <c r="J848" s="67" t="inlineStr">
        <is>
          <t>Tarefa</t>
        </is>
      </c>
      <c r="K848" s="62" t="n">
        <v>46058</v>
      </c>
      <c r="L848" s="67" t="inlineStr">
        <is>
          <t>Renata Francisco Becker</t>
        </is>
      </c>
      <c r="M848" s="40" t="inlineStr">
        <is>
          <t>Cumprido</t>
        </is>
      </c>
      <c r="N848" s="62" t="n">
        <v>46058</v>
      </c>
      <c r="O848" s="67" t="inlineStr">
        <is>
          <t>ANOTAR AGENDA FÍSICA.</t>
        </is>
      </c>
    </row>
    <row r="849">
      <c r="A849" s="40" t="n"/>
      <c r="B849" s="40" t="inlineStr">
        <is>
          <t>Outras</t>
        </is>
      </c>
      <c r="D849" s="67" t="inlineStr">
        <is>
          <t>Pedro Victor</t>
        </is>
      </c>
      <c r="E849" s="62" t="n">
        <v>45826</v>
      </c>
      <c r="I849" s="67" t="inlineStr">
        <is>
          <t>5000969-70.2025.8.24.0175</t>
        </is>
      </c>
      <c r="J849" s="67" t="inlineStr">
        <is>
          <t>Tarefa</t>
        </is>
      </c>
      <c r="K849" s="62" t="n">
        <v>46058</v>
      </c>
      <c r="L849" s="67" t="inlineStr">
        <is>
          <t>Renata Francisco Becker</t>
        </is>
      </c>
      <c r="M849" s="40" t="inlineStr">
        <is>
          <t>Cumprido</t>
        </is>
      </c>
      <c r="N849" s="62" t="n">
        <v>46058</v>
      </c>
      <c r="O849" s="67" t="inlineStr">
        <is>
          <t>Anotar nas agendas físicas.</t>
        </is>
      </c>
    </row>
    <row r="850">
      <c r="A850" s="40" t="inlineStr">
        <is>
          <t>5001896-64.2025.8.24.0004</t>
        </is>
      </c>
      <c r="B850" s="40" t="inlineStr">
        <is>
          <t>Outras</t>
        </is>
      </c>
      <c r="D850" s="67" t="inlineStr">
        <is>
          <t>Renata Francisco Becker</t>
        </is>
      </c>
      <c r="E850" s="62" t="n">
        <v>45712</v>
      </c>
      <c r="F850" s="67" t="inlineStr">
        <is>
          <t>vara cível</t>
        </is>
      </c>
      <c r="I850" s="67" t="inlineStr">
        <is>
          <t>50178045020248240020</t>
        </is>
      </c>
      <c r="J850" s="67" t="inlineStr">
        <is>
          <t>Tarefa</t>
        </is>
      </c>
      <c r="K850" s="62" t="n">
        <v>46058</v>
      </c>
      <c r="L850" s="67" t="inlineStr">
        <is>
          <t>Renata Francisco Becker</t>
        </is>
      </c>
      <c r="M850" s="40" t="inlineStr">
        <is>
          <t>Cumprido</t>
        </is>
      </c>
      <c r="N850" s="62" t="n">
        <v>46058</v>
      </c>
      <c r="O850" s="67" t="inlineStr">
        <is>
          <t>ANOTAÇÃO AGENDAS FÍSICAS.</t>
        </is>
      </c>
    </row>
    <row r="851">
      <c r="A851" s="40" t="n"/>
      <c r="B851" s="40" t="inlineStr">
        <is>
          <t>Outras</t>
        </is>
      </c>
      <c r="D851" s="67" t="inlineStr">
        <is>
          <t>Renata Francisco Becker</t>
        </is>
      </c>
      <c r="E851" s="62" t="n">
        <v>45915</v>
      </c>
      <c r="I851" s="67" t="inlineStr">
        <is>
          <t>0000059-93.2026.5.12.0041</t>
        </is>
      </c>
      <c r="J851" s="67" t="inlineStr">
        <is>
          <t>Tarefa</t>
        </is>
      </c>
      <c r="K851" s="62" t="n">
        <v>46058</v>
      </c>
      <c r="L851" s="67" t="inlineStr">
        <is>
          <t>Marelize Controladoria</t>
        </is>
      </c>
      <c r="M851" s="40" t="inlineStr">
        <is>
          <t>Cumprido</t>
        </is>
      </c>
      <c r="N851" s="62" t="n">
        <v>46058</v>
      </c>
      <c r="O851" s="67" t="inlineStr">
        <is>
          <t>AVISAR CLIENTE DA AUDIENCIA.</t>
        </is>
      </c>
    </row>
    <row r="852">
      <c r="A852" s="40" t="inlineStr">
        <is>
          <t>5006050-94.2018.4.04.7204</t>
        </is>
      </c>
      <c r="B852" s="40" t="inlineStr">
        <is>
          <t>Outras</t>
        </is>
      </c>
      <c r="D852" s="67" t="inlineStr">
        <is>
          <t>Renata Francisco Becker</t>
        </is>
      </c>
      <c r="E852" s="62" t="n">
        <v>44840</v>
      </c>
      <c r="F852" s="67" t="inlineStr"/>
      <c r="I852" s="67" t="inlineStr">
        <is>
          <t>5000969-70.2025.8.24.0175</t>
        </is>
      </c>
      <c r="J852" s="67" t="inlineStr">
        <is>
          <t>Tarefa</t>
        </is>
      </c>
      <c r="K852" s="62" t="n">
        <v>46058</v>
      </c>
      <c r="L852" s="67" t="inlineStr">
        <is>
          <t>Marelize Controladoria</t>
        </is>
      </c>
      <c r="M852" s="40" t="inlineStr">
        <is>
          <t>Cumprido</t>
        </is>
      </c>
      <c r="N852" s="62" t="n">
        <v>46058</v>
      </c>
      <c r="O852" s="67" t="inlineStr">
        <is>
          <t xml:space="preserve">Avisar cliente da audiencia. </t>
        </is>
      </c>
    </row>
    <row r="853">
      <c r="A853" s="40" t="inlineStr">
        <is>
          <t>5005950-42.2018.4.04.7204</t>
        </is>
      </c>
      <c r="B853" s="40" t="inlineStr">
        <is>
          <t>Outras</t>
        </is>
      </c>
      <c r="D853" s="67" t="inlineStr">
        <is>
          <t>Renata Francisco Becker</t>
        </is>
      </c>
      <c r="E853" s="62" t="n">
        <v>44715</v>
      </c>
      <c r="F853" s="67" t="inlineStr">
        <is>
          <t>Juízo Federal da 4ª VF de Criciúma</t>
        </is>
      </c>
      <c r="I853" s="67" t="inlineStr">
        <is>
          <t>50178045020248240020</t>
        </is>
      </c>
      <c r="J853" s="67" t="inlineStr">
        <is>
          <t>Tarefa</t>
        </is>
      </c>
      <c r="K853" s="62" t="n">
        <v>46058</v>
      </c>
      <c r="L853" s="67" t="inlineStr">
        <is>
          <t>Marelize Controladoria</t>
        </is>
      </c>
      <c r="M853" s="40" t="inlineStr">
        <is>
          <t>Cumprido</t>
        </is>
      </c>
      <c r="N853" s="62" t="n">
        <v>46058</v>
      </c>
      <c r="O853" s="67" t="inlineStr">
        <is>
          <t>cadastrar audiencia</t>
        </is>
      </c>
    </row>
    <row r="854">
      <c r="A854" s="40" t="inlineStr">
        <is>
          <t>0000449-55.2025.5.12.0055</t>
        </is>
      </c>
      <c r="B854" s="40" t="inlineStr">
        <is>
          <t>Outras</t>
        </is>
      </c>
      <c r="D854" s="67" t="inlineStr">
        <is>
          <t xml:space="preserve">Lucas </t>
        </is>
      </c>
      <c r="E854" s="62" t="n">
        <v>45740</v>
      </c>
      <c r="F854" s="67" t="inlineStr">
        <is>
          <t>Vara do Trabalho</t>
        </is>
      </c>
      <c r="I854" s="67" t="inlineStr"/>
      <c r="J854" s="67" t="inlineStr">
        <is>
          <t>Tarefa</t>
        </is>
      </c>
      <c r="K854" s="62" t="n">
        <v>46058</v>
      </c>
      <c r="L854" s="67" t="inlineStr">
        <is>
          <t>Pedro Victor</t>
        </is>
      </c>
      <c r="M854" s="40" t="inlineStr">
        <is>
          <t>Cumprido</t>
        </is>
      </c>
      <c r="N854" s="62" t="n">
        <v>46058</v>
      </c>
      <c r="O854" s="67" t="inlineStr">
        <is>
          <t xml:space="preserve">Cobrar Eduardo Vonsher do orçamento do registro de marca </t>
        </is>
      </c>
    </row>
    <row r="855">
      <c r="A855" s="40" t="inlineStr">
        <is>
          <t>5006334-05.2018.4.04.7204</t>
        </is>
      </c>
      <c r="B855" s="40" t="inlineStr">
        <is>
          <t>Outras</t>
        </is>
      </c>
      <c r="D855" s="67" t="inlineStr">
        <is>
          <t>Renata Francisco Becker</t>
        </is>
      </c>
      <c r="E855" s="62" t="n">
        <v>44719</v>
      </c>
      <c r="F855" s="67" t="inlineStr">
        <is>
          <t>Juízo Federal da 4ª VF de Criciúma</t>
        </is>
      </c>
      <c r="I855" s="67" t="inlineStr"/>
      <c r="J855" s="67" t="inlineStr">
        <is>
          <t>Tarefa</t>
        </is>
      </c>
      <c r="K855" s="62" t="n">
        <v>46058</v>
      </c>
      <c r="L855" s="67" t="inlineStr">
        <is>
          <t>Marelize Controladoria</t>
        </is>
      </c>
      <c r="M855" s="40" t="inlineStr">
        <is>
          <t>Cumprido</t>
        </is>
      </c>
      <c r="N855" s="62" t="n">
        <v>46058</v>
      </c>
      <c r="O855" s="67" t="inlineStr">
        <is>
          <t>Criar caso da notificação INMETRO JJ</t>
        </is>
      </c>
    </row>
    <row r="856">
      <c r="A856" s="40" t="inlineStr">
        <is>
          <t>0001763-67.2025.8.16.0154</t>
        </is>
      </c>
      <c r="B856" s="40" t="inlineStr">
        <is>
          <t>Outras</t>
        </is>
      </c>
      <c r="D856" s="67" t="inlineStr">
        <is>
          <t>Renata Francisco Becker</t>
        </is>
      </c>
      <c r="E856" s="62" t="n">
        <v>45852</v>
      </c>
      <c r="F856" s="67" t="inlineStr"/>
      <c r="I856" s="67" t="inlineStr">
        <is>
          <t>5031380-76.2025.8.24.0020</t>
        </is>
      </c>
      <c r="J856" s="67" t="inlineStr">
        <is>
          <t>Tarefa</t>
        </is>
      </c>
      <c r="K856" s="62" t="n">
        <v>46058</v>
      </c>
      <c r="L856" s="67" t="inlineStr">
        <is>
          <t>Jessica</t>
        </is>
      </c>
      <c r="M856" s="40" t="inlineStr">
        <is>
          <t>Cumprido</t>
        </is>
      </c>
      <c r="N856" s="62" t="n">
        <v>46058</v>
      </c>
      <c r="O856" s="67" t="inlineStr">
        <is>
          <t>Emissão de preparo recursal.</t>
        </is>
      </c>
    </row>
    <row r="857">
      <c r="A857" s="40" t="inlineStr">
        <is>
          <t>50236968520254047200</t>
        </is>
      </c>
      <c r="B857" s="40" t="inlineStr">
        <is>
          <t>Outras</t>
        </is>
      </c>
      <c r="D857" s="67" t="inlineStr">
        <is>
          <t>Renata Francisco Becker</t>
        </is>
      </c>
      <c r="E857" s="62" t="n">
        <v>45889</v>
      </c>
      <c r="F857" s="67" t="inlineStr">
        <is>
          <t>Unidade de Apoio em Execução Fiscal</t>
        </is>
      </c>
      <c r="I857" s="67" t="inlineStr"/>
      <c r="J857" s="67" t="inlineStr">
        <is>
          <t>Tarefa</t>
        </is>
      </c>
      <c r="K857" s="62" t="n">
        <v>46058</v>
      </c>
      <c r="L857" s="67" t="inlineStr">
        <is>
          <t xml:space="preserve">Lucas </t>
        </is>
      </c>
      <c r="M857" s="40" t="inlineStr">
        <is>
          <t>Cumprido</t>
        </is>
      </c>
      <c r="N857" s="62" t="n">
        <v>46058</v>
      </c>
      <c r="O857" s="67" t="inlineStr">
        <is>
          <t>iniciar confecção da inicial ou recurso adm</t>
        </is>
      </c>
    </row>
    <row r="858">
      <c r="A858" s="40" t="n"/>
      <c r="B858" s="40" t="inlineStr">
        <is>
          <t>Outras</t>
        </is>
      </c>
      <c r="D858" s="67" t="inlineStr">
        <is>
          <t>Renata Francisco Becker</t>
        </is>
      </c>
      <c r="E858" s="62" t="n">
        <v>45912</v>
      </c>
      <c r="I858" s="67" t="inlineStr">
        <is>
          <t>0000059-93.2026.5.12.0041</t>
        </is>
      </c>
      <c r="J858" s="67" t="inlineStr">
        <is>
          <t>Tarefa</t>
        </is>
      </c>
      <c r="K858" s="62" t="n">
        <v>46058</v>
      </c>
      <c r="L858" s="67" t="inlineStr">
        <is>
          <t>Marelize Controladoria</t>
        </is>
      </c>
      <c r="M858" s="40" t="inlineStr">
        <is>
          <t>Cumprido</t>
        </is>
      </c>
      <c r="N858" s="62" t="n">
        <v>46058</v>
      </c>
      <c r="O858" s="67" t="inlineStr">
        <is>
          <t>Lançar CONTESTAÇÃO e audiencia</t>
        </is>
      </c>
    </row>
    <row r="859">
      <c r="A859" s="40" t="n"/>
      <c r="B859" s="40" t="inlineStr">
        <is>
          <t>Outras</t>
        </is>
      </c>
      <c r="D859" s="67" t="inlineStr">
        <is>
          <t>Pedro Victor</t>
        </is>
      </c>
      <c r="E859" s="62" t="n">
        <v>45883</v>
      </c>
      <c r="I859" s="67" t="inlineStr"/>
      <c r="J859" s="67" t="inlineStr">
        <is>
          <t>Tarefa</t>
        </is>
      </c>
      <c r="K859" s="62" t="n">
        <v>46058</v>
      </c>
      <c r="L859" s="67" t="inlineStr">
        <is>
          <t>Marelize Controladoria</t>
        </is>
      </c>
      <c r="M859" s="40" t="inlineStr">
        <is>
          <t>Cumprido</t>
        </is>
      </c>
      <c r="N859" s="62" t="n">
        <v>46058</v>
      </c>
      <c r="O859" s="67" t="inlineStr">
        <is>
          <t xml:space="preserve">Lize, fechei um serviço de registro de marca avulsa. Sera executado pela Jessica, que ja esta por dentro do caso. Favor lançar as atividades dessa demanda para ela dar seguimento, falar com o cliente e fazer o fluxo </t>
        </is>
      </c>
    </row>
    <row r="860">
      <c r="A860" s="40" t="inlineStr">
        <is>
          <t>5030628-12.2022.8.24.0020</t>
        </is>
      </c>
      <c r="B860" s="40" t="inlineStr">
        <is>
          <t>Outras</t>
        </is>
      </c>
      <c r="D860" s="67" t="inlineStr">
        <is>
          <t>Renata Francisco Becker</t>
        </is>
      </c>
      <c r="E860" s="62" t="n">
        <v>44949</v>
      </c>
      <c r="F860" s="67" t="inlineStr"/>
      <c r="I860" s="67" t="inlineStr"/>
      <c r="J860" s="67" t="inlineStr">
        <is>
          <t>Tarefa</t>
        </is>
      </c>
      <c r="K860" s="62" t="n">
        <v>46058</v>
      </c>
      <c r="L860" s="67" t="inlineStr">
        <is>
          <t>Julia</t>
        </is>
      </c>
      <c r="M860" s="40" t="inlineStr">
        <is>
          <t>Cumprido</t>
        </is>
      </c>
      <c r="N860" s="62" t="n">
        <v>46058</v>
      </c>
      <c r="O860" s="67" t="inlineStr">
        <is>
          <t>Parecer sobre eventual distrato</t>
        </is>
      </c>
    </row>
    <row r="861">
      <c r="A861" s="40" t="n"/>
      <c r="B861" s="40" t="inlineStr">
        <is>
          <t>Outras</t>
        </is>
      </c>
      <c r="D861" s="67" t="inlineStr">
        <is>
          <t>Renata Francisco Becker</t>
        </is>
      </c>
      <c r="E861" s="62" t="n">
        <v>45911</v>
      </c>
      <c r="I861" s="67" t="inlineStr"/>
      <c r="J861" s="67" t="inlineStr">
        <is>
          <t>Tarefa</t>
        </is>
      </c>
      <c r="K861" s="62" t="n">
        <v>46058</v>
      </c>
      <c r="L861" s="67" t="inlineStr">
        <is>
          <t>Julia</t>
        </is>
      </c>
      <c r="M861" s="40" t="inlineStr">
        <is>
          <t>Cumprido</t>
        </is>
      </c>
      <c r="N861" s="62" t="n">
        <v>46058</v>
      </c>
      <c r="O861" s="67" t="inlineStr">
        <is>
          <t xml:space="preserve">Revisão </t>
        </is>
      </c>
    </row>
    <row r="862">
      <c r="A862" s="40" t="inlineStr">
        <is>
          <t>51072898620238240023</t>
        </is>
      </c>
      <c r="B862" s="40" t="inlineStr">
        <is>
          <t>Outras</t>
        </is>
      </c>
      <c r="D862" s="67" t="inlineStr">
        <is>
          <t>Pedro Victor</t>
        </is>
      </c>
      <c r="E862" s="62" t="n">
        <v>46100</v>
      </c>
      <c r="F862" s="67" t="inlineStr">
        <is>
          <t>Juízo da Unidade Estadual de Execuções Fiscais de Baixo Valor</t>
        </is>
      </c>
      <c r="I862" s="67" t="inlineStr">
        <is>
          <t>5017830-14.2025.8.24.0020</t>
        </is>
      </c>
      <c r="J862" s="67" t="inlineStr">
        <is>
          <t>Tarefa</t>
        </is>
      </c>
      <c r="K862" s="62" t="n">
        <v>46058</v>
      </c>
      <c r="L862" s="67" t="inlineStr">
        <is>
          <t>Renata Francisco Becker</t>
        </is>
      </c>
      <c r="M862" s="40" t="inlineStr">
        <is>
          <t>Cumprido</t>
        </is>
      </c>
      <c r="N862" s="62" t="n">
        <v>46058</v>
      </c>
      <c r="O862" s="67" t="inlineStr">
        <is>
          <t>Revisão</t>
        </is>
      </c>
    </row>
    <row r="863">
      <c r="A863" s="40" t="n"/>
      <c r="B863" s="40" t="inlineStr">
        <is>
          <t>Outras</t>
        </is>
      </c>
      <c r="D863" s="67" t="inlineStr">
        <is>
          <t>Renata Francisco Becker</t>
        </is>
      </c>
      <c r="E863" s="62" t="n">
        <v>45911</v>
      </c>
      <c r="I863" s="67" t="inlineStr"/>
      <c r="J863" s="67" t="inlineStr">
        <is>
          <t>Evento</t>
        </is>
      </c>
      <c r="K863" s="62" t="n">
        <v>46058</v>
      </c>
      <c r="L863" s="67" t="inlineStr">
        <is>
          <t>Pedro Victor</t>
        </is>
      </c>
      <c r="M863" s="40" t="inlineStr">
        <is>
          <t>Cumprido</t>
        </is>
      </c>
      <c r="N863" s="62" t="n">
        <v>46058</v>
      </c>
      <c r="O863" s="67" t="inlineStr">
        <is>
          <t>Reunião Xande da Berimbau</t>
        </is>
      </c>
    </row>
    <row r="864">
      <c r="A864" s="40" t="n"/>
      <c r="B864" s="40" t="inlineStr">
        <is>
          <t>Outras</t>
        </is>
      </c>
      <c r="D864" s="67" t="inlineStr">
        <is>
          <t>Renata Francisco Becker</t>
        </is>
      </c>
      <c r="E864" s="62" t="n">
        <v>45911</v>
      </c>
      <c r="I864" s="67" t="inlineStr"/>
      <c r="J864" s="67" t="inlineStr">
        <is>
          <t>Evento</t>
        </is>
      </c>
      <c r="K864" s="62" t="n">
        <v>46058</v>
      </c>
      <c r="L864" s="67" t="inlineStr">
        <is>
          <t>Marelize Controladoria</t>
        </is>
      </c>
      <c r="M864" s="40" t="inlineStr">
        <is>
          <t>Cumprido</t>
        </is>
      </c>
      <c r="N864" s="62" t="n">
        <v>46058</v>
      </c>
      <c r="O864" s="67" t="inlineStr">
        <is>
          <t>Reunião de validação dos fluxos mapeados</t>
        </is>
      </c>
    </row>
    <row r="865">
      <c r="A865" s="40" t="inlineStr">
        <is>
          <t>5028531-68.2024.8.24.0020</t>
        </is>
      </c>
      <c r="B865" s="40" t="inlineStr">
        <is>
          <t>Outras</t>
        </is>
      </c>
      <c r="D865" s="67" t="inlineStr">
        <is>
          <t>Renata Francisco Becker</t>
        </is>
      </c>
      <c r="E865" s="62" t="n">
        <v>45519</v>
      </c>
      <c r="F865" s="67" t="inlineStr"/>
      <c r="I865" s="67" t="inlineStr"/>
      <c r="J865" s="67" t="inlineStr">
        <is>
          <t>Evento</t>
        </is>
      </c>
      <c r="K865" s="62" t="n">
        <v>46058</v>
      </c>
      <c r="L865" s="67" t="inlineStr">
        <is>
          <t>Jessica</t>
        </is>
      </c>
      <c r="M865" s="40" t="inlineStr">
        <is>
          <t>Cumprido</t>
        </is>
      </c>
      <c r="N865" s="62" t="n">
        <v>46058</v>
      </c>
      <c r="O865" s="67" t="inlineStr">
        <is>
          <t>Reunião Responsáveis JJ</t>
        </is>
      </c>
    </row>
    <row r="866">
      <c r="A866" s="40" t="inlineStr">
        <is>
          <t>03027775520198240039</t>
        </is>
      </c>
      <c r="B866" s="40" t="inlineStr">
        <is>
          <t>Outras</t>
        </is>
      </c>
      <c r="D866" s="67" t="inlineStr">
        <is>
          <t>Renata Francisco Becker</t>
        </is>
      </c>
      <c r="E866" s="62" t="n">
        <v>45853</v>
      </c>
      <c r="F866" s="67" t="inlineStr">
        <is>
          <t>2ª Vara Cível</t>
        </is>
      </c>
      <c r="I866" s="67" t="inlineStr"/>
      <c r="J866" s="67" t="inlineStr">
        <is>
          <t>Evento</t>
        </is>
      </c>
      <c r="K866" s="62" t="n">
        <v>46058</v>
      </c>
      <c r="L866" s="67" t="inlineStr">
        <is>
          <t>Renata Francisco Becker</t>
        </is>
      </c>
      <c r="M866" s="40" t="inlineStr">
        <is>
          <t>Cumprido</t>
        </is>
      </c>
      <c r="N866" s="62" t="n">
        <v>46058</v>
      </c>
      <c r="O866" s="67" t="inlineStr">
        <is>
          <t xml:space="preserve">Reunião CR Empreendimentos </t>
        </is>
      </c>
    </row>
    <row r="867">
      <c r="A867" s="40" t="n"/>
      <c r="B867" s="40" t="inlineStr">
        <is>
          <t>Outras</t>
        </is>
      </c>
      <c r="D867" s="67" t="inlineStr">
        <is>
          <t>Pedro Victor</t>
        </is>
      </c>
      <c r="E867" s="62" t="n">
        <v>45583</v>
      </c>
      <c r="I867" s="67" t="inlineStr"/>
      <c r="J867" s="67" t="inlineStr">
        <is>
          <t>Evento</t>
        </is>
      </c>
      <c r="K867" s="62" t="n">
        <v>46058</v>
      </c>
      <c r="L867" s="67" t="inlineStr">
        <is>
          <t>Luci</t>
        </is>
      </c>
      <c r="M867" s="40" t="inlineStr">
        <is>
          <t>Cumprido</t>
        </is>
      </c>
      <c r="N867" s="62" t="n">
        <v>46058</v>
      </c>
      <c r="O867" s="67" t="inlineStr">
        <is>
          <t>Atendimento Paulo Diniz</t>
        </is>
      </c>
    </row>
    <row r="868">
      <c r="A868" s="40" t="n"/>
      <c r="B868" s="40" t="inlineStr">
        <is>
          <t>Outras</t>
        </is>
      </c>
      <c r="D868" s="67" t="inlineStr">
        <is>
          <t>Renata Francisco Becker</t>
        </is>
      </c>
      <c r="E868" s="62" t="n">
        <v>45904</v>
      </c>
      <c r="I868" s="67" t="inlineStr"/>
      <c r="J868" s="67" t="inlineStr">
        <is>
          <t>Prazo</t>
        </is>
      </c>
      <c r="K868" s="62" t="n">
        <v>46059</v>
      </c>
      <c r="L868" s="67" t="inlineStr">
        <is>
          <t>Jessica</t>
        </is>
      </c>
      <c r="M868" s="40" t="inlineStr">
        <is>
          <t>Cumprido</t>
        </is>
      </c>
      <c r="N868" s="62" t="n">
        <v>46059</v>
      </c>
      <c r="O868" s="67" t="inlineStr">
        <is>
          <t>Analise de Contrato de prestação de serviços Contábeis</t>
        </is>
      </c>
    </row>
    <row r="869">
      <c r="A869" s="40" t="inlineStr">
        <is>
          <t>5005303-30.2025.8.24.0020</t>
        </is>
      </c>
      <c r="B869" s="40" t="inlineStr">
        <is>
          <t>Outras</t>
        </is>
      </c>
      <c r="D869" s="67" t="inlineStr">
        <is>
          <t>Renata Francisco Becker</t>
        </is>
      </c>
      <c r="E869" s="62" t="n">
        <v>45785</v>
      </c>
      <c r="F869" s="67" t="inlineStr">
        <is>
          <t>juizado especial civel</t>
        </is>
      </c>
      <c r="I869" s="67" t="inlineStr"/>
      <c r="J869" s="67" t="inlineStr">
        <is>
          <t>Prazo</t>
        </is>
      </c>
      <c r="K869" s="62" t="n">
        <v>46059</v>
      </c>
      <c r="L869" s="67" t="inlineStr">
        <is>
          <t>Julia</t>
        </is>
      </c>
      <c r="M869" s="40" t="inlineStr">
        <is>
          <t>Cumprido</t>
        </is>
      </c>
      <c r="N869" s="62" t="n">
        <v>46059</v>
      </c>
      <c r="O869" s="67" t="inlineStr">
        <is>
          <t>Analise de contrato Rarissima Joias</t>
        </is>
      </c>
    </row>
    <row r="870">
      <c r="A870" s="40" t="n"/>
      <c r="B870" s="40" t="inlineStr">
        <is>
          <t>Outras</t>
        </is>
      </c>
      <c r="D870" s="67" t="inlineStr">
        <is>
          <t>Pedro Victor</t>
        </is>
      </c>
      <c r="E870" s="62" t="n">
        <v>45902</v>
      </c>
      <c r="I870" s="67" t="inlineStr">
        <is>
          <t>0000500-51.2025.5.12.0060</t>
        </is>
      </c>
      <c r="J870" s="67" t="inlineStr">
        <is>
          <t>Prazo</t>
        </is>
      </c>
      <c r="K870" s="62" t="n">
        <v>46059</v>
      </c>
      <c r="L870" s="67" t="inlineStr">
        <is>
          <t>Luci</t>
        </is>
      </c>
      <c r="M870" s="40" t="inlineStr">
        <is>
          <t>Cumprido</t>
        </is>
      </c>
      <c r="N870" s="62" t="n">
        <v>46059</v>
      </c>
      <c r="O870" s="67" t="inlineStr">
        <is>
          <t>Ciencia da Sentença</t>
        </is>
      </c>
    </row>
    <row r="871">
      <c r="A871" s="40" t="n"/>
      <c r="B871" s="40" t="inlineStr">
        <is>
          <t>Outras</t>
        </is>
      </c>
      <c r="D871" s="67" t="inlineStr">
        <is>
          <t>Pedro Victor</t>
        </is>
      </c>
      <c r="E871" s="62" t="n">
        <v>45902</v>
      </c>
      <c r="I871" s="67" t="inlineStr">
        <is>
          <t>0117600-68.2006.5.12.0003</t>
        </is>
      </c>
      <c r="J871" s="67" t="inlineStr">
        <is>
          <t>Prazo</t>
        </is>
      </c>
      <c r="K871" s="62" t="n">
        <v>46059</v>
      </c>
      <c r="L871" s="67" t="inlineStr">
        <is>
          <t>Luci</t>
        </is>
      </c>
      <c r="M871" s="40" t="inlineStr">
        <is>
          <t>Cumprido</t>
        </is>
      </c>
      <c r="N871" s="62" t="n">
        <v>46059</v>
      </c>
      <c r="O871" s="67" t="inlineStr">
        <is>
          <t>Ciência da Sentença</t>
        </is>
      </c>
    </row>
    <row r="872">
      <c r="A872" s="40" t="inlineStr">
        <is>
          <t>5029643-72.2024.8.24.0020</t>
        </is>
      </c>
      <c r="B872" s="40" t="inlineStr">
        <is>
          <t>Outras</t>
        </is>
      </c>
      <c r="D872" s="67" t="inlineStr">
        <is>
          <t>Renata Francisco Becker</t>
        </is>
      </c>
      <c r="E872" s="62" t="n">
        <v>45602</v>
      </c>
      <c r="F872" s="67" t="inlineStr">
        <is>
          <t>Juízo da 4ª Vara Cível da Comarca de Criciúma</t>
        </is>
      </c>
      <c r="I872" s="67" t="inlineStr"/>
      <c r="J872" s="67" t="inlineStr">
        <is>
          <t>Prazo</t>
        </is>
      </c>
      <c r="K872" s="62" t="n">
        <v>46059</v>
      </c>
      <c r="L872" s="67" t="inlineStr">
        <is>
          <t>Luci</t>
        </is>
      </c>
      <c r="M872" s="40" t="inlineStr">
        <is>
          <t>Cumprido</t>
        </is>
      </c>
      <c r="N872" s="62" t="n">
        <v>46059</v>
      </c>
      <c r="O872" s="67" t="inlineStr">
        <is>
          <t>Elaborar documento de desconto de danos materiais funcionário</t>
        </is>
      </c>
    </row>
    <row r="873">
      <c r="A873" s="40" t="n"/>
      <c r="B873" s="40" t="inlineStr">
        <is>
          <t>Outras</t>
        </is>
      </c>
      <c r="D873" s="67" t="inlineStr">
        <is>
          <t>Renata Francisco Becker</t>
        </is>
      </c>
      <c r="E873" s="62" t="n">
        <v>45588</v>
      </c>
      <c r="I873" s="67" t="inlineStr"/>
      <c r="J873" s="67" t="inlineStr">
        <is>
          <t>Prazo</t>
        </is>
      </c>
      <c r="K873" s="62" t="n">
        <v>46059</v>
      </c>
      <c r="L873" s="67" t="inlineStr">
        <is>
          <t xml:space="preserve">Lucas </t>
        </is>
      </c>
      <c r="M873" s="40" t="inlineStr">
        <is>
          <t>Cumprido</t>
        </is>
      </c>
      <c r="N873" s="62" t="n">
        <v>46059</v>
      </c>
      <c r="O873" s="67" t="inlineStr">
        <is>
          <t>Elaboração de Autorização para desconto de multas Clesio da Silva</t>
        </is>
      </c>
    </row>
    <row r="874">
      <c r="A874" s="40" t="inlineStr">
        <is>
          <t>0300576-26.2019.8.24.0028</t>
        </is>
      </c>
      <c r="B874" s="40" t="inlineStr">
        <is>
          <t>Outras</t>
        </is>
      </c>
      <c r="D874" s="67" t="inlineStr">
        <is>
          <t>Renata Francisco Becker</t>
        </is>
      </c>
      <c r="E874" s="62" t="n">
        <v>44701</v>
      </c>
      <c r="F874" s="67" t="inlineStr">
        <is>
          <t>1ª Vara</t>
        </is>
      </c>
      <c r="I874" s="67" t="inlineStr"/>
      <c r="J874" s="67" t="inlineStr">
        <is>
          <t>Prazo</t>
        </is>
      </c>
      <c r="K874" s="62" t="n">
        <v>46059</v>
      </c>
      <c r="L874" s="67" t="inlineStr">
        <is>
          <t>Julia</t>
        </is>
      </c>
      <c r="M874" s="40" t="inlineStr">
        <is>
          <t>Cumprido</t>
        </is>
      </c>
      <c r="N874" s="62" t="n">
        <v>46059</v>
      </c>
      <c r="O874" s="67" t="inlineStr">
        <is>
          <t xml:space="preserve">Elaboração de contrato HF </t>
        </is>
      </c>
    </row>
    <row r="875">
      <c r="A875" s="40" t="n"/>
      <c r="B875" s="40" t="inlineStr">
        <is>
          <t>Outras</t>
        </is>
      </c>
      <c r="D875" s="67" t="inlineStr">
        <is>
          <t>Renata Francisco Becker</t>
        </is>
      </c>
      <c r="E875" s="62" t="n">
        <v>45882</v>
      </c>
      <c r="I875" s="67" t="inlineStr">
        <is>
          <t>5063316-82.2025.8.24.0000</t>
        </is>
      </c>
      <c r="J875" s="67" t="inlineStr">
        <is>
          <t>Prazo</t>
        </is>
      </c>
      <c r="K875" s="62" t="n">
        <v>46059</v>
      </c>
      <c r="L875" s="67" t="inlineStr">
        <is>
          <t>Jessica</t>
        </is>
      </c>
      <c r="M875" s="40" t="inlineStr">
        <is>
          <t>Cumprido</t>
        </is>
      </c>
      <c r="N875" s="62" t="n">
        <v>46059</v>
      </c>
      <c r="O875" s="67" t="inlineStr">
        <is>
          <t>Embargos de Declaração e/ou Pré-questionadores</t>
        </is>
      </c>
    </row>
    <row r="876">
      <c r="A876" s="40" t="inlineStr">
        <is>
          <t>5000665-66.2016.8.24.0020</t>
        </is>
      </c>
      <c r="B876" s="40" t="inlineStr">
        <is>
          <t>Outras</t>
        </is>
      </c>
      <c r="D876" s="67" t="inlineStr">
        <is>
          <t>Renata Francisco Becker</t>
        </is>
      </c>
      <c r="E876" s="62" t="n">
        <v>45722</v>
      </c>
      <c r="F876" s="67" t="inlineStr"/>
      <c r="I876" s="67" t="inlineStr">
        <is>
          <t>0000160-12.2025.5.12.0027</t>
        </is>
      </c>
      <c r="J876" s="67" t="inlineStr">
        <is>
          <t>Prazo</t>
        </is>
      </c>
      <c r="K876" s="62" t="n">
        <v>46059</v>
      </c>
      <c r="L876" s="67" t="inlineStr">
        <is>
          <t>Luci</t>
        </is>
      </c>
      <c r="M876" s="40" t="inlineStr">
        <is>
          <t>Cumprido</t>
        </is>
      </c>
      <c r="N876" s="62" t="n">
        <v>46059</v>
      </c>
      <c r="O876" s="67" t="inlineStr">
        <is>
          <t xml:space="preserve">FAZER MANDADO DE SEGURANÇA - 100% DIGITAL </t>
        </is>
      </c>
    </row>
    <row r="877">
      <c r="A877" s="40" t="inlineStr">
        <is>
          <t>5026660-37.2023.8.24.0020</t>
        </is>
      </c>
      <c r="B877" s="40" t="inlineStr">
        <is>
          <t>Outras</t>
        </is>
      </c>
      <c r="D877" s="67" t="inlineStr">
        <is>
          <t>Renata Francisco Becker</t>
        </is>
      </c>
      <c r="E877" s="62" t="n">
        <v>45218</v>
      </c>
      <c r="F877" s="67" t="inlineStr"/>
      <c r="I877" s="67" t="inlineStr">
        <is>
          <t>5008937-34.2025.8.24.0020</t>
        </is>
      </c>
      <c r="J877" s="67" t="inlineStr">
        <is>
          <t>Prazo</t>
        </is>
      </c>
      <c r="K877" s="62" t="n">
        <v>46059</v>
      </c>
      <c r="L877" s="67" t="inlineStr">
        <is>
          <t>Renata Francisco Becker</t>
        </is>
      </c>
      <c r="M877" s="40" t="inlineStr">
        <is>
          <t>Cumprido</t>
        </is>
      </c>
      <c r="N877" s="62" t="n">
        <v>46059</v>
      </c>
      <c r="O877" s="67" t="inlineStr">
        <is>
          <t>Prazo</t>
        </is>
      </c>
    </row>
    <row r="878">
      <c r="A878" s="40" t="inlineStr">
        <is>
          <t>0011302-68.2025.5.15.0014</t>
        </is>
      </c>
      <c r="B878" s="40" t="inlineStr">
        <is>
          <t>Outras</t>
        </is>
      </c>
      <c r="D878" s="67" t="inlineStr">
        <is>
          <t>Pedro Victor</t>
        </is>
      </c>
      <c r="E878" s="62" t="n">
        <v>45842</v>
      </c>
      <c r="F878" s="67" t="inlineStr">
        <is>
          <t>Vara do Trabalho</t>
        </is>
      </c>
      <c r="I878" s="67" t="inlineStr">
        <is>
          <t>1006376-44.2021.8.26.0003</t>
        </is>
      </c>
      <c r="J878" s="67" t="inlineStr">
        <is>
          <t>Prazo</t>
        </is>
      </c>
      <c r="K878" s="62" t="n">
        <v>46059</v>
      </c>
      <c r="L878" s="67" t="inlineStr">
        <is>
          <t>Julia</t>
        </is>
      </c>
      <c r="M878" s="40" t="inlineStr">
        <is>
          <t>Cumprido</t>
        </is>
      </c>
      <c r="N878" s="62" t="n">
        <v>46059</v>
      </c>
      <c r="O878" s="67" t="inlineStr">
        <is>
          <t>Prazo</t>
        </is>
      </c>
    </row>
    <row r="879">
      <c r="A879" s="40" t="inlineStr">
        <is>
          <t>0302376-26.2018.8.24.0028</t>
        </is>
      </c>
      <c r="B879" s="40" t="inlineStr">
        <is>
          <t>Outras</t>
        </is>
      </c>
      <c r="D879" s="67" t="inlineStr">
        <is>
          <t>Renata Francisco Becker</t>
        </is>
      </c>
      <c r="E879" s="62" t="n">
        <v>44701</v>
      </c>
      <c r="F879" s="67" t="inlineStr">
        <is>
          <t>Juizo Da 1ª Vara Da Comarca De Icara</t>
        </is>
      </c>
      <c r="I879" s="67" t="inlineStr">
        <is>
          <t>5000969-70.2025.8.24.0175</t>
        </is>
      </c>
      <c r="J879" s="67" t="inlineStr">
        <is>
          <t>Prazo</t>
        </is>
      </c>
      <c r="K879" s="62" t="n">
        <v>46059</v>
      </c>
      <c r="L879" s="67" t="inlineStr">
        <is>
          <t>Jessica</t>
        </is>
      </c>
      <c r="M879" s="40" t="inlineStr">
        <is>
          <t>Cumprido</t>
        </is>
      </c>
      <c r="N879" s="62" t="n">
        <v>46059</v>
      </c>
      <c r="O879" s="67" t="inlineStr">
        <is>
          <t xml:space="preserve">Prazo </t>
        </is>
      </c>
    </row>
    <row r="880">
      <c r="A880" s="40" t="inlineStr">
        <is>
          <t>5004571-61.2021.4.04.7204</t>
        </is>
      </c>
      <c r="B880" s="40" t="inlineStr">
        <is>
          <t>Outras</t>
        </is>
      </c>
      <c r="D880" s="67" t="inlineStr">
        <is>
          <t>Renata Francisco Becker</t>
        </is>
      </c>
      <c r="E880" s="62" t="n">
        <v>45897</v>
      </c>
      <c r="F880" s="67" t="inlineStr">
        <is>
          <t>4° Vara Federal</t>
        </is>
      </c>
      <c r="I880" s="67" t="inlineStr">
        <is>
          <t>5035736-77.2025.8.24.0000</t>
        </is>
      </c>
      <c r="J880" s="67" t="inlineStr">
        <is>
          <t>Prazo</t>
        </is>
      </c>
      <c r="K880" s="62" t="n">
        <v>46059</v>
      </c>
      <c r="L880" s="67" t="inlineStr">
        <is>
          <t>Marelize Controladoria</t>
        </is>
      </c>
      <c r="M880" s="40" t="inlineStr">
        <is>
          <t>Cumprido</t>
        </is>
      </c>
      <c r="N880" s="62" t="n">
        <v>46059</v>
      </c>
      <c r="O880" s="67" t="inlineStr">
        <is>
          <t>Sustentação Oral</t>
        </is>
      </c>
    </row>
    <row r="881">
      <c r="A881" s="40" t="inlineStr">
        <is>
          <t>5010560-70.2024.8.24.0020</t>
        </is>
      </c>
      <c r="B881" s="40" t="inlineStr">
        <is>
          <t>Outras</t>
        </is>
      </c>
      <c r="D881" s="67" t="inlineStr">
        <is>
          <t>Renata Francisco Becker</t>
        </is>
      </c>
      <c r="E881" s="62" t="n">
        <v>45897</v>
      </c>
      <c r="F881" s="67" t="inlineStr">
        <is>
          <t>3° Vara Civel</t>
        </is>
      </c>
      <c r="I881" s="67" t="inlineStr"/>
      <c r="J881" s="67" t="inlineStr">
        <is>
          <t>Tarefa</t>
        </is>
      </c>
      <c r="K881" s="62" t="n">
        <v>46059</v>
      </c>
      <c r="L881" s="67" t="inlineStr">
        <is>
          <t xml:space="preserve">Lucas </t>
        </is>
      </c>
      <c r="M881" s="40" t="inlineStr">
        <is>
          <t>Cumprido</t>
        </is>
      </c>
      <c r="N881" s="62" t="n">
        <v>46059</v>
      </c>
      <c r="O881" s="67" t="inlineStr">
        <is>
          <t>06/02/2026 - CONFERIR ATIVIDADES MONITORADAS</t>
        </is>
      </c>
    </row>
    <row r="882">
      <c r="A882" s="40" t="n"/>
      <c r="B882" s="40" t="inlineStr">
        <is>
          <t>Outras</t>
        </is>
      </c>
      <c r="D882" s="67" t="inlineStr">
        <is>
          <t>Renata Francisco Becker</t>
        </is>
      </c>
      <c r="E882" s="62" t="n">
        <v>45903</v>
      </c>
      <c r="I882" s="67" t="inlineStr"/>
      <c r="J882" s="67" t="inlineStr">
        <is>
          <t>Tarefa</t>
        </is>
      </c>
      <c r="K882" s="62" t="n">
        <v>46059</v>
      </c>
      <c r="L882" s="67" t="inlineStr">
        <is>
          <t xml:space="preserve">Lucas </t>
        </is>
      </c>
      <c r="M882" s="40" t="inlineStr">
        <is>
          <t>Cumprido</t>
        </is>
      </c>
      <c r="N882" s="62" t="n">
        <v>46059</v>
      </c>
      <c r="O882" s="67" t="inlineStr">
        <is>
          <t xml:space="preserve">Faz até final do dia, relatório de quais já foram finalizadas, e quais faltam.
</t>
        </is>
      </c>
    </row>
    <row r="883">
      <c r="A883" s="40" t="inlineStr">
        <is>
          <t>5066850-34.2025.8.24.0000</t>
        </is>
      </c>
      <c r="B883" s="40" t="inlineStr">
        <is>
          <t>Outras</t>
        </is>
      </c>
      <c r="D883" s="67" t="inlineStr">
        <is>
          <t>Renata Francisco Becker</t>
        </is>
      </c>
      <c r="E883" s="62" t="n">
        <v>45894</v>
      </c>
      <c r="F883" s="67" t="inlineStr">
        <is>
          <t>3° Câmara</t>
        </is>
      </c>
      <c r="I883" s="67" t="inlineStr"/>
      <c r="J883" s="67" t="inlineStr">
        <is>
          <t>Tarefa</t>
        </is>
      </c>
      <c r="K883" s="62" t="n">
        <v>46059</v>
      </c>
      <c r="L883" s="67" t="inlineStr">
        <is>
          <t xml:space="preserve">Lucas </t>
        </is>
      </c>
      <c r="M883" s="40" t="inlineStr">
        <is>
          <t>Cumprido</t>
        </is>
      </c>
      <c r="N883" s="62" t="n">
        <v>46059</v>
      </c>
      <c r="O883" s="67" t="inlineStr">
        <is>
          <t>Implementação (Documentos e orientações)</t>
        </is>
      </c>
    </row>
    <row r="884">
      <c r="A884" s="40" t="inlineStr">
        <is>
          <t>0301769-81.2016.8.24.0028</t>
        </is>
      </c>
      <c r="B884" s="40" t="inlineStr">
        <is>
          <t>Outras</t>
        </is>
      </c>
      <c r="D884" s="67" t="inlineStr">
        <is>
          <t>Renata Francisco Becker</t>
        </is>
      </c>
      <c r="E884" s="62" t="n">
        <v>44701</v>
      </c>
      <c r="F884" s="67" t="inlineStr">
        <is>
          <t>1ª Vara Icara</t>
        </is>
      </c>
      <c r="I884" s="67" t="inlineStr">
        <is>
          <t>5001100-11.2019.8.24.0028</t>
        </is>
      </c>
      <c r="J884" s="67" t="inlineStr">
        <is>
          <t>Tarefa</t>
        </is>
      </c>
      <c r="K884" s="62" t="n">
        <v>46059</v>
      </c>
      <c r="L884" s="67" t="inlineStr">
        <is>
          <t xml:space="preserve">Alexia </t>
        </is>
      </c>
      <c r="M884" s="40" t="inlineStr">
        <is>
          <t>Cumprido</t>
        </is>
      </c>
      <c r="N884" s="62" t="n">
        <v>46059</v>
      </c>
      <c r="O884" s="67" t="inlineStr">
        <is>
          <t>Protocolo</t>
        </is>
      </c>
    </row>
    <row r="885">
      <c r="A885" s="40" t="inlineStr">
        <is>
          <t>130/2025</t>
        </is>
      </c>
      <c r="B885" s="40" t="inlineStr">
        <is>
          <t>Outras</t>
        </is>
      </c>
      <c r="D885" s="67" t="inlineStr">
        <is>
          <t>Renata Francisco Becker</t>
        </is>
      </c>
      <c r="E885" s="62" t="n">
        <v>45882</v>
      </c>
      <c r="F885" s="67" t="inlineStr"/>
      <c r="I885" s="67" t="inlineStr">
        <is>
          <t>5017802-94.2025.8.24.0004</t>
        </is>
      </c>
      <c r="J885" s="67" t="inlineStr">
        <is>
          <t>Tarefa</t>
        </is>
      </c>
      <c r="K885" s="62" t="n">
        <v>46059</v>
      </c>
      <c r="L885" s="67" t="inlineStr">
        <is>
          <t>Renata Francisco Becker</t>
        </is>
      </c>
      <c r="M885" s="40" t="inlineStr">
        <is>
          <t>Cumprido</t>
        </is>
      </c>
      <c r="N885" s="62" t="n">
        <v>46059</v>
      </c>
      <c r="O885" s="67" t="inlineStr">
        <is>
          <t>Protocolo</t>
        </is>
      </c>
    </row>
    <row r="886">
      <c r="A886" s="40" t="n"/>
      <c r="B886" s="40" t="inlineStr">
        <is>
          <t>Outras</t>
        </is>
      </c>
      <c r="D886" s="67" t="inlineStr">
        <is>
          <t>Renata Francisco Becker</t>
        </is>
      </c>
      <c r="E886" s="62" t="n">
        <v>45898</v>
      </c>
      <c r="I886" s="67" t="inlineStr">
        <is>
          <t>50142426920254047204</t>
        </is>
      </c>
      <c r="J886" s="67" t="inlineStr">
        <is>
          <t>Tarefa</t>
        </is>
      </c>
      <c r="K886" s="62" t="n">
        <v>46059</v>
      </c>
      <c r="L886" s="67" t="inlineStr">
        <is>
          <t>Jessica</t>
        </is>
      </c>
      <c r="M886" s="40" t="inlineStr">
        <is>
          <t>Cumprido</t>
        </is>
      </c>
      <c r="N886" s="62" t="n">
        <v>46059</v>
      </c>
      <c r="O886" s="67" t="inlineStr">
        <is>
          <t xml:space="preserve">Protocolo </t>
        </is>
      </c>
    </row>
    <row r="887">
      <c r="A887" s="40" t="n"/>
      <c r="B887" s="40" t="inlineStr">
        <is>
          <t>Outras</t>
        </is>
      </c>
      <c r="D887" s="67" t="inlineStr">
        <is>
          <t>Renata Francisco Becker</t>
        </is>
      </c>
      <c r="E887" s="62" t="n">
        <v>45898</v>
      </c>
      <c r="I887" s="67" t="inlineStr">
        <is>
          <t>5000453-56.2025.8.24.0076</t>
        </is>
      </c>
      <c r="J887" s="67" t="inlineStr">
        <is>
          <t>Tarefa</t>
        </is>
      </c>
      <c r="K887" s="62" t="n">
        <v>46059</v>
      </c>
      <c r="L887" s="67" t="inlineStr">
        <is>
          <t>Jessica</t>
        </is>
      </c>
      <c r="M887" s="40" t="inlineStr">
        <is>
          <t>Cumprido</t>
        </is>
      </c>
      <c r="N887" s="62" t="n">
        <v>46059</v>
      </c>
      <c r="O887" s="67" t="inlineStr">
        <is>
          <t xml:space="preserve">Protocolo </t>
        </is>
      </c>
    </row>
    <row r="888">
      <c r="A888" s="40" t="n"/>
      <c r="B888" s="40" t="inlineStr">
        <is>
          <t>Outras</t>
        </is>
      </c>
      <c r="D888" s="67" t="inlineStr">
        <is>
          <t>Renata Francisco Becker</t>
        </is>
      </c>
      <c r="E888" s="62" t="n">
        <v>45898</v>
      </c>
      <c r="I888" s="67" t="inlineStr">
        <is>
          <t>5007007-54.2025.8.24.0028</t>
        </is>
      </c>
      <c r="J888" s="67" t="inlineStr">
        <is>
          <t>Tarefa</t>
        </is>
      </c>
      <c r="K888" s="62" t="n">
        <v>46059</v>
      </c>
      <c r="L888" s="67" t="inlineStr">
        <is>
          <t>Julia</t>
        </is>
      </c>
      <c r="M888" s="40" t="inlineStr">
        <is>
          <t>Cumprido</t>
        </is>
      </c>
      <c r="N888" s="62" t="n">
        <v>46059</v>
      </c>
      <c r="O888" s="67" t="inlineStr">
        <is>
          <t xml:space="preserve">Protocolo </t>
        </is>
      </c>
    </row>
    <row r="889">
      <c r="A889" s="40" t="inlineStr">
        <is>
          <t>0000076-26.2016.5.12.0027</t>
        </is>
      </c>
      <c r="B889" s="40" t="inlineStr">
        <is>
          <t>Outras</t>
        </is>
      </c>
      <c r="D889" s="67" t="inlineStr">
        <is>
          <t>Renata Francisco Becker</t>
        </is>
      </c>
      <c r="E889" s="62" t="n">
        <v>45371</v>
      </c>
      <c r="F889" s="67" t="inlineStr">
        <is>
          <t>2ª VARA DO TRABALHO DE CRICIÚMA</t>
        </is>
      </c>
      <c r="I889" s="67" t="inlineStr">
        <is>
          <t>50269221620258240020</t>
        </is>
      </c>
      <c r="J889" s="67" t="inlineStr">
        <is>
          <t>Tarefa</t>
        </is>
      </c>
      <c r="K889" s="62" t="n">
        <v>46059</v>
      </c>
      <c r="L889" s="67" t="inlineStr">
        <is>
          <t>Pedro Victor</t>
        </is>
      </c>
      <c r="M889" s="40" t="inlineStr">
        <is>
          <t>Cumprido</t>
        </is>
      </c>
      <c r="N889" s="62" t="n">
        <v>46059</v>
      </c>
      <c r="O889" s="67" t="inlineStr">
        <is>
          <t>Revisão</t>
        </is>
      </c>
    </row>
    <row r="890">
      <c r="A890" s="40" t="n"/>
      <c r="B890" s="40" t="inlineStr">
        <is>
          <t>Outras</t>
        </is>
      </c>
      <c r="D890" s="67" t="inlineStr">
        <is>
          <t>Renata Francisco Becker</t>
        </is>
      </c>
      <c r="E890" s="62" t="n">
        <v>45856</v>
      </c>
      <c r="I890" s="67" t="inlineStr">
        <is>
          <t>5028872-60.2025.8.24.0020</t>
        </is>
      </c>
      <c r="J890" s="67" t="inlineStr">
        <is>
          <t>Tarefa</t>
        </is>
      </c>
      <c r="K890" s="62" t="n">
        <v>46059</v>
      </c>
      <c r="L890" s="67" t="inlineStr">
        <is>
          <t>Renata Francisco Becker</t>
        </is>
      </c>
      <c r="M890" s="40" t="inlineStr">
        <is>
          <t>Cumprido</t>
        </is>
      </c>
      <c r="N890" s="62" t="n">
        <v>46059</v>
      </c>
      <c r="O890" s="67" t="inlineStr">
        <is>
          <t>Revisão</t>
        </is>
      </c>
    </row>
    <row r="891">
      <c r="A891" s="40" t="n"/>
      <c r="B891" s="40" t="inlineStr">
        <is>
          <t>Outras</t>
        </is>
      </c>
      <c r="D891" s="67" t="inlineStr">
        <is>
          <t>Renata Francisco Becker</t>
        </is>
      </c>
      <c r="E891" s="62" t="n">
        <v>45896</v>
      </c>
      <c r="I891" s="67" t="inlineStr">
        <is>
          <t>5028410-06.2025.8.24.0020</t>
        </is>
      </c>
      <c r="J891" s="67" t="inlineStr">
        <is>
          <t>Tarefa</t>
        </is>
      </c>
      <c r="K891" s="62" t="n">
        <v>46059</v>
      </c>
      <c r="L891" s="67" t="inlineStr">
        <is>
          <t>Julia</t>
        </is>
      </c>
      <c r="M891" s="40" t="inlineStr">
        <is>
          <t>Cumprido</t>
        </is>
      </c>
      <c r="N891" s="62" t="n">
        <v>46059</v>
      </c>
      <c r="O891" s="67" t="inlineStr">
        <is>
          <t>Revisão</t>
        </is>
      </c>
    </row>
    <row r="892">
      <c r="A892" s="40" t="inlineStr">
        <is>
          <t>0900008-71.2015.8.24.0166</t>
        </is>
      </c>
      <c r="B892" s="40" t="inlineStr">
        <is>
          <t>Outras</t>
        </is>
      </c>
      <c r="D892" s="67" t="inlineStr">
        <is>
          <t>Renata Francisco Becker</t>
        </is>
      </c>
      <c r="E892" s="62" t="n">
        <v>45103</v>
      </c>
      <c r="F892" s="67" t="inlineStr"/>
      <c r="I892" s="67" t="inlineStr">
        <is>
          <t>00001865320235120003</t>
        </is>
      </c>
      <c r="J892" s="67" t="inlineStr">
        <is>
          <t>Tarefa</t>
        </is>
      </c>
      <c r="K892" s="62" t="n">
        <v>46059</v>
      </c>
      <c r="L892" s="67" t="inlineStr">
        <is>
          <t>Renata Francisco Becker</t>
        </is>
      </c>
      <c r="M892" s="40" t="inlineStr">
        <is>
          <t>Cumprido</t>
        </is>
      </c>
      <c r="N892" s="62" t="n">
        <v>46059</v>
      </c>
      <c r="O892" s="67" t="inlineStr">
        <is>
          <t>Revisão</t>
        </is>
      </c>
    </row>
    <row r="893">
      <c r="A893" s="40" t="inlineStr">
        <is>
          <t>50038390520248240020</t>
        </is>
      </c>
      <c r="B893" s="40" t="inlineStr">
        <is>
          <t>Outras</t>
        </is>
      </c>
      <c r="D893" s="67" t="inlineStr">
        <is>
          <t>Renata Francisco Becker</t>
        </is>
      </c>
      <c r="E893" s="62" t="n">
        <v>45372</v>
      </c>
      <c r="F893" s="67" t="inlineStr"/>
      <c r="I893" s="67" t="inlineStr">
        <is>
          <t>5029750-82.2025.8.24.0020</t>
        </is>
      </c>
      <c r="J893" s="67" t="inlineStr">
        <is>
          <t>Tarefa</t>
        </is>
      </c>
      <c r="K893" s="62" t="n">
        <v>46059</v>
      </c>
      <c r="L893" s="67" t="inlineStr">
        <is>
          <t>Pedro Victor</t>
        </is>
      </c>
      <c r="M893" s="40" t="inlineStr">
        <is>
          <t>Cumprido</t>
        </is>
      </c>
      <c r="N893" s="62" t="n">
        <v>46059</v>
      </c>
      <c r="O893" s="67" t="inlineStr">
        <is>
          <t>Revisão</t>
        </is>
      </c>
    </row>
    <row r="894">
      <c r="A894" s="40" t="inlineStr">
        <is>
          <t>5008217-96.2025.8.24.0075</t>
        </is>
      </c>
      <c r="B894" s="40" t="inlineStr">
        <is>
          <t>Outras</t>
        </is>
      </c>
      <c r="D894" s="67" t="inlineStr">
        <is>
          <t>Renata Francisco Becker</t>
        </is>
      </c>
      <c r="E894" s="62" t="n">
        <v>45862</v>
      </c>
      <c r="F894" s="67" t="inlineStr"/>
      <c r="I894" s="67" t="inlineStr"/>
      <c r="J894" s="67" t="inlineStr">
        <is>
          <t>Tarefa</t>
        </is>
      </c>
      <c r="K894" s="62" t="n">
        <v>46059</v>
      </c>
      <c r="L894" s="67" t="inlineStr">
        <is>
          <t>Marelize Controladoria</t>
        </is>
      </c>
      <c r="M894" s="40" t="inlineStr">
        <is>
          <t>Cumprido</t>
        </is>
      </c>
      <c r="N894" s="62" t="n">
        <v>46059</v>
      </c>
      <c r="O894" s="67" t="inlineStr">
        <is>
          <t>06/02/2026 - Conferir prazos no TJs - TJSC - TJRS - TRT12 - TRF4 - JFSC - TJRJ - TJPR - TJPA - TJSP - TJGO;</t>
        </is>
      </c>
    </row>
    <row r="895">
      <c r="A895" s="40" t="n"/>
      <c r="B895" s="40" t="inlineStr">
        <is>
          <t>Outras</t>
        </is>
      </c>
      <c r="D895" s="67" t="inlineStr">
        <is>
          <t>Renata Francisco Becker</t>
        </is>
      </c>
      <c r="E895" s="62" t="n">
        <v>45897</v>
      </c>
      <c r="I895" s="67" t="inlineStr"/>
      <c r="J895" s="67" t="inlineStr">
        <is>
          <t>Tarefa</t>
        </is>
      </c>
      <c r="K895" s="62" t="n">
        <v>46059</v>
      </c>
      <c r="L895" s="67" t="inlineStr">
        <is>
          <t>Marelize Controladoria</t>
        </is>
      </c>
      <c r="M895" s="40" t="inlineStr">
        <is>
          <t>Cumprido</t>
        </is>
      </c>
      <c r="N895" s="62" t="n">
        <v>46059</v>
      </c>
      <c r="O895" s="67" t="inlineStr">
        <is>
          <t>06/02/2026 - Fazer Agendas.</t>
        </is>
      </c>
    </row>
    <row r="896">
      <c r="A896" s="40" t="n"/>
      <c r="B896" s="40" t="inlineStr">
        <is>
          <t>Outras</t>
        </is>
      </c>
      <c r="D896" s="67" t="inlineStr">
        <is>
          <t>Renata Francisco Becker</t>
        </is>
      </c>
      <c r="E896" s="62" t="n">
        <v>45869</v>
      </c>
      <c r="I896" s="67" t="inlineStr"/>
      <c r="J896" s="67" t="inlineStr">
        <is>
          <t>Tarefa</t>
        </is>
      </c>
      <c r="K896" s="62" t="n">
        <v>46059</v>
      </c>
      <c r="L896" s="67" t="inlineStr">
        <is>
          <t>Marelize Controladoria</t>
        </is>
      </c>
      <c r="M896" s="40" t="inlineStr">
        <is>
          <t>Cumprido</t>
        </is>
      </c>
      <c r="N896" s="62" t="n">
        <v>46059</v>
      </c>
      <c r="O896" s="67" t="inlineStr">
        <is>
          <t>06/02/2026 - Fazer Publicações.</t>
        </is>
      </c>
    </row>
    <row r="897">
      <c r="A897" s="40" t="inlineStr">
        <is>
          <t>5029762-33.2024.8.24.0020</t>
        </is>
      </c>
      <c r="B897" s="40" t="inlineStr">
        <is>
          <t>Outras</t>
        </is>
      </c>
      <c r="D897" s="67" t="inlineStr">
        <is>
          <t>Renata Francisco Becker</t>
        </is>
      </c>
      <c r="E897" s="62" t="n">
        <v>45754</v>
      </c>
      <c r="F897" s="67" t="inlineStr"/>
      <c r="I897" s="67" t="inlineStr"/>
      <c r="J897" s="67" t="inlineStr">
        <is>
          <t>Tarefa</t>
        </is>
      </c>
      <c r="K897" s="62" t="n">
        <v>46059</v>
      </c>
      <c r="L897" s="67" t="inlineStr">
        <is>
          <t>Marelize Controladoria</t>
        </is>
      </c>
      <c r="M897" s="40" t="inlineStr">
        <is>
          <t>Cumprido</t>
        </is>
      </c>
      <c r="N897" s="62" t="n">
        <v>46059</v>
      </c>
      <c r="O897" s="67" t="inlineStr">
        <is>
          <t>06/02/2026 - Olhar E-mails.</t>
        </is>
      </c>
    </row>
    <row r="898">
      <c r="A898" s="40" t="n"/>
      <c r="B898" s="40" t="inlineStr">
        <is>
          <t>Outras</t>
        </is>
      </c>
      <c r="D898" s="67" t="inlineStr">
        <is>
          <t>Luci</t>
        </is>
      </c>
      <c r="E898" s="62" t="n">
        <v>45783</v>
      </c>
      <c r="I898" s="67" t="inlineStr"/>
      <c r="J898" s="67" t="inlineStr">
        <is>
          <t>Tarefa</t>
        </is>
      </c>
      <c r="K898" s="62" t="n">
        <v>46059</v>
      </c>
      <c r="L898" s="67" t="inlineStr">
        <is>
          <t>Marelize Controladoria</t>
        </is>
      </c>
      <c r="M898" s="40" t="inlineStr">
        <is>
          <t>Cumprido</t>
        </is>
      </c>
      <c r="N898" s="62" t="n">
        <v>46059</v>
      </c>
      <c r="O898" s="67" t="inlineStr">
        <is>
          <t>06/02/2026 - Relatório semanal de índice de demandas feita por Advogado.</t>
        </is>
      </c>
    </row>
    <row r="899">
      <c r="A899" s="40" t="inlineStr">
        <is>
          <t>50016168920238240028</t>
        </is>
      </c>
      <c r="B899" s="40" t="inlineStr">
        <is>
          <t>Outras</t>
        </is>
      </c>
      <c r="D899" s="67" t="inlineStr">
        <is>
          <t>Renata Francisco Becker</t>
        </is>
      </c>
      <c r="E899" s="62" t="n">
        <v>45145</v>
      </c>
      <c r="F899" s="67" t="inlineStr"/>
      <c r="I899" s="67" t="inlineStr"/>
      <c r="J899" s="67" t="inlineStr">
        <is>
          <t>Tarefa</t>
        </is>
      </c>
      <c r="K899" s="62" t="n">
        <v>46059</v>
      </c>
      <c r="L899" s="67" t="inlineStr">
        <is>
          <t>Luci</t>
        </is>
      </c>
      <c r="M899" s="40" t="inlineStr">
        <is>
          <t>Cumprido</t>
        </is>
      </c>
      <c r="N899" s="62" t="n">
        <v>46059</v>
      </c>
      <c r="O899" s="67" t="inlineStr">
        <is>
          <t>06/02/2026 - Verificar atividades monitoradas</t>
        </is>
      </c>
    </row>
    <row r="900">
      <c r="A900" s="40" t="n"/>
      <c r="B900" s="40" t="inlineStr">
        <is>
          <t>Outras</t>
        </is>
      </c>
      <c r="D900" s="67" t="inlineStr">
        <is>
          <t>Pedro Victor</t>
        </is>
      </c>
      <c r="E900" s="62" t="n">
        <v>45891</v>
      </c>
      <c r="I900" s="67" t="inlineStr"/>
      <c r="J900" s="67" t="inlineStr">
        <is>
          <t>Tarefa</t>
        </is>
      </c>
      <c r="K900" s="62" t="n">
        <v>46059</v>
      </c>
      <c r="L900" s="67" t="inlineStr">
        <is>
          <t>Julia</t>
        </is>
      </c>
      <c r="M900" s="40" t="inlineStr">
        <is>
          <t>Cumprido</t>
        </is>
      </c>
      <c r="N900" s="62" t="n">
        <v>46059</v>
      </c>
      <c r="O900" s="67" t="inlineStr">
        <is>
          <t>06/02/2026 - Verificar atividades monitoradas</t>
        </is>
      </c>
    </row>
    <row r="901">
      <c r="A901" s="40" t="inlineStr">
        <is>
          <t>50014448720248240166</t>
        </is>
      </c>
      <c r="B901" s="40" t="inlineStr">
        <is>
          <t>Outras</t>
        </is>
      </c>
      <c r="D901" s="67" t="inlineStr">
        <is>
          <t>Renata Francisco Becker</t>
        </is>
      </c>
      <c r="E901" s="62" t="n">
        <v>45455</v>
      </c>
      <c r="F901" s="67" t="inlineStr"/>
      <c r="I901" s="67" t="inlineStr"/>
      <c r="J901" s="67" t="inlineStr">
        <is>
          <t>Tarefa</t>
        </is>
      </c>
      <c r="K901" s="62" t="n">
        <v>46059</v>
      </c>
      <c r="L901" s="67" t="inlineStr">
        <is>
          <t>Jessica</t>
        </is>
      </c>
      <c r="M901" s="40" t="inlineStr">
        <is>
          <t>Cumprido</t>
        </is>
      </c>
      <c r="N901" s="62" t="n">
        <v>46059</v>
      </c>
      <c r="O901" s="67" t="inlineStr">
        <is>
          <t>09/12/2025 - Acompanhamento de Recurso Adm</t>
        </is>
      </c>
    </row>
    <row r="902">
      <c r="A902" s="40" t="inlineStr">
        <is>
          <t>00000162220235120055</t>
        </is>
      </c>
      <c r="B902" s="40" t="inlineStr">
        <is>
          <t>Outras</t>
        </is>
      </c>
      <c r="D902" s="67" t="inlineStr">
        <is>
          <t>Pedro Victor</t>
        </is>
      </c>
      <c r="E902" s="62" t="n">
        <v>44943</v>
      </c>
      <c r="F902" s="67" t="inlineStr">
        <is>
          <t>4ª VARA DO TRABALHO DE CRICIÚMA</t>
        </is>
      </c>
      <c r="I902" s="67" t="inlineStr"/>
      <c r="J902" s="67" t="inlineStr">
        <is>
          <t>Tarefa</t>
        </is>
      </c>
      <c r="K902" s="62" t="n">
        <v>46059</v>
      </c>
      <c r="L902" s="67" t="inlineStr">
        <is>
          <t>Luci</t>
        </is>
      </c>
      <c r="M902" s="40" t="inlineStr">
        <is>
          <t>Cumprido</t>
        </is>
      </c>
      <c r="N902" s="62" t="n">
        <v>46059</v>
      </c>
      <c r="O902" s="67" t="inlineStr">
        <is>
          <t xml:space="preserve">analisar viabilidade </t>
        </is>
      </c>
    </row>
    <row r="903">
      <c r="A903" s="40" t="n"/>
      <c r="B903" s="40" t="inlineStr">
        <is>
          <t>Outras</t>
        </is>
      </c>
      <c r="D903" s="67" t="inlineStr">
        <is>
          <t>Renata Francisco Becker</t>
        </is>
      </c>
      <c r="E903" s="62" t="n">
        <v>45876</v>
      </c>
      <c r="I903" s="67" t="inlineStr">
        <is>
          <t>5008937-34.2025.8.24.0020</t>
        </is>
      </c>
      <c r="J903" s="67" t="inlineStr">
        <is>
          <t>Tarefa</t>
        </is>
      </c>
      <c r="K903" s="62" t="n">
        <v>46059</v>
      </c>
      <c r="L903" s="67" t="inlineStr">
        <is>
          <t>Renata Francisco Becker</t>
        </is>
      </c>
      <c r="M903" s="40" t="inlineStr">
        <is>
          <t>Cumprido</t>
        </is>
      </c>
      <c r="N903" s="62" t="n">
        <v>46059</v>
      </c>
      <c r="O903" s="67" t="inlineStr">
        <is>
          <t>ANOTAR AGENDA FÍSICA.</t>
        </is>
      </c>
    </row>
    <row r="904">
      <c r="A904" s="40" t="n"/>
      <c r="B904" s="40" t="inlineStr">
        <is>
          <t>Outras</t>
        </is>
      </c>
      <c r="D904" s="67" t="inlineStr">
        <is>
          <t>Pedro Victor</t>
        </is>
      </c>
      <c r="E904" s="62" t="n">
        <v>45684</v>
      </c>
      <c r="I904" s="67" t="inlineStr">
        <is>
          <t>5008937-34.2025.8.24.0020</t>
        </is>
      </c>
      <c r="J904" s="67" t="inlineStr">
        <is>
          <t>Tarefa</t>
        </is>
      </c>
      <c r="K904" s="62" t="n">
        <v>46059</v>
      </c>
      <c r="L904" s="67" t="inlineStr">
        <is>
          <t>Marelize Controladoria</t>
        </is>
      </c>
      <c r="M904" s="40" t="inlineStr">
        <is>
          <t>Cumprido</t>
        </is>
      </c>
      <c r="N904" s="62" t="n">
        <v>46059</v>
      </c>
      <c r="O904" s="67" t="inlineStr">
        <is>
          <t>AVISAR CLIENTE AUDIENCIA.</t>
        </is>
      </c>
    </row>
    <row r="905">
      <c r="A905" s="40" t="inlineStr">
        <is>
          <t>0000288-45.2025.5.12.0055</t>
        </is>
      </c>
      <c r="B905" s="40" t="inlineStr">
        <is>
          <t>Outras</t>
        </is>
      </c>
      <c r="D905" s="67" t="inlineStr">
        <is>
          <t>Renata Francisco Becker</t>
        </is>
      </c>
      <c r="E905" s="62" t="n">
        <v>45736</v>
      </c>
      <c r="F905" s="67" t="inlineStr"/>
      <c r="I905" s="67" t="inlineStr">
        <is>
          <t>50178045020248240020</t>
        </is>
      </c>
      <c r="J905" s="67" t="inlineStr">
        <is>
          <t>Tarefa</t>
        </is>
      </c>
      <c r="K905" s="62" t="n">
        <v>46059</v>
      </c>
      <c r="L905" s="67" t="inlineStr">
        <is>
          <t>Marelize Controladoria</t>
        </is>
      </c>
      <c r="M905" s="40" t="inlineStr">
        <is>
          <t>Cumprido</t>
        </is>
      </c>
      <c r="N905" s="62" t="n">
        <v>46059</v>
      </c>
      <c r="O905" s="67" t="inlineStr">
        <is>
          <t xml:space="preserve">AVISAR CLIENTE DA AUDIENCIA. </t>
        </is>
      </c>
    </row>
    <row r="906">
      <c r="A906" s="40" t="n"/>
      <c r="B906" s="40" t="inlineStr">
        <is>
          <t>Outras</t>
        </is>
      </c>
      <c r="D906" s="67" t="inlineStr">
        <is>
          <t>Renata Francisco Becker</t>
        </is>
      </c>
      <c r="E906" s="62" t="n">
        <v>45888</v>
      </c>
      <c r="I906" s="67" t="inlineStr">
        <is>
          <t>5008428-32.2026.8.24.0000</t>
        </is>
      </c>
      <c r="J906" s="67" t="inlineStr">
        <is>
          <t>Tarefa</t>
        </is>
      </c>
      <c r="K906" s="62" t="n">
        <v>46059</v>
      </c>
      <c r="L906" s="67" t="inlineStr">
        <is>
          <t>Marelize Controladoria</t>
        </is>
      </c>
      <c r="M906" s="40" t="inlineStr">
        <is>
          <t>Cumprido</t>
        </is>
      </c>
      <c r="N906" s="62" t="n">
        <v>46059</v>
      </c>
      <c r="O906" s="67" t="inlineStr">
        <is>
          <t xml:space="preserve">Cadastrando processo 5008428-32.2026.8.24.0000 e vincular 50313807620258240020
</t>
        </is>
      </c>
    </row>
    <row r="907">
      <c r="A907" s="40" t="inlineStr">
        <is>
          <t>5015874-23.2025.8.24.0000</t>
        </is>
      </c>
      <c r="B907" s="40" t="inlineStr">
        <is>
          <t>Outras</t>
        </is>
      </c>
      <c r="D907" s="67" t="inlineStr">
        <is>
          <t>Renata Francisco Becker</t>
        </is>
      </c>
      <c r="E907" s="62" t="n">
        <v>45868</v>
      </c>
      <c r="F907" s="67" t="inlineStr"/>
      <c r="I907" s="67" t="inlineStr"/>
      <c r="J907" s="67" t="inlineStr">
        <is>
          <t>Tarefa</t>
        </is>
      </c>
      <c r="K907" s="62" t="n">
        <v>46059</v>
      </c>
      <c r="L907" s="67" t="inlineStr">
        <is>
          <t xml:space="preserve">Lucas </t>
        </is>
      </c>
      <c r="M907" s="40" t="inlineStr">
        <is>
          <t>Cumprido</t>
        </is>
      </c>
      <c r="N907" s="62" t="n">
        <v>46059</v>
      </c>
      <c r="O907" s="67" t="inlineStr">
        <is>
          <t>Dar retorno sobre pagamento dos títulos protestados questionados no grupo da perdoná</t>
        </is>
      </c>
    </row>
    <row r="908">
      <c r="A908" s="40" t="n"/>
      <c r="B908" s="40" t="inlineStr">
        <is>
          <t>Outras</t>
        </is>
      </c>
      <c r="D908" s="67" t="inlineStr">
        <is>
          <t>Luci</t>
        </is>
      </c>
      <c r="E908" s="62" t="n">
        <v>45783</v>
      </c>
      <c r="I908" s="67" t="inlineStr">
        <is>
          <t>5017830-14.2025.8.24.0020</t>
        </is>
      </c>
      <c r="J908" s="67" t="inlineStr">
        <is>
          <t>Tarefa</t>
        </is>
      </c>
      <c r="K908" s="62" t="n">
        <v>46059</v>
      </c>
      <c r="L908" s="67" t="inlineStr">
        <is>
          <t>Julia</t>
        </is>
      </c>
      <c r="M908" s="40" t="inlineStr">
        <is>
          <t>Cumprido</t>
        </is>
      </c>
      <c r="N908" s="62" t="n">
        <v>46059</v>
      </c>
      <c r="O908" s="67" t="inlineStr">
        <is>
          <t>Elaboração</t>
        </is>
      </c>
    </row>
    <row r="909">
      <c r="A909" s="40" t="inlineStr">
        <is>
          <t>0000183-30.2025.5.12.0003</t>
        </is>
      </c>
      <c r="B909" s="40" t="inlineStr">
        <is>
          <t>Outras</t>
        </is>
      </c>
      <c r="D909" s="67" t="inlineStr">
        <is>
          <t>Luci</t>
        </is>
      </c>
      <c r="E909" s="62" t="n">
        <v>45757</v>
      </c>
      <c r="F909" s="67" t="inlineStr"/>
      <c r="I909" s="67" t="inlineStr"/>
      <c r="J909" s="67" t="inlineStr">
        <is>
          <t>Tarefa</t>
        </is>
      </c>
      <c r="K909" s="62" t="n">
        <v>46059</v>
      </c>
      <c r="L909" s="67" t="inlineStr">
        <is>
          <t>Luci</t>
        </is>
      </c>
      <c r="M909" s="40" t="inlineStr">
        <is>
          <t>Cumprido</t>
        </is>
      </c>
      <c r="N909" s="62" t="n">
        <v>46059</v>
      </c>
      <c r="O909" s="67" t="inlineStr">
        <is>
          <t>Finalização</t>
        </is>
      </c>
    </row>
    <row r="910">
      <c r="A910" s="40" t="inlineStr">
        <is>
          <t>0000882-25.2025.5.12.0034</t>
        </is>
      </c>
      <c r="B910" s="40" t="inlineStr">
        <is>
          <t>Outras</t>
        </is>
      </c>
      <c r="D910" s="67" t="inlineStr">
        <is>
          <t>Renata Francisco Becker</t>
        </is>
      </c>
      <c r="E910" s="62" t="n">
        <v>45884</v>
      </c>
      <c r="F910" s="67" t="inlineStr"/>
      <c r="I910" s="67" t="inlineStr"/>
      <c r="J910" s="67" t="inlineStr">
        <is>
          <t>Tarefa</t>
        </is>
      </c>
      <c r="K910" s="62" t="n">
        <v>46059</v>
      </c>
      <c r="L910" s="67" t="inlineStr">
        <is>
          <t>Julia</t>
        </is>
      </c>
      <c r="M910" s="40" t="inlineStr">
        <is>
          <t>Cumprido</t>
        </is>
      </c>
      <c r="N910" s="62" t="n">
        <v>46059</v>
      </c>
      <c r="O910" s="67" t="inlineStr">
        <is>
          <t>Finalização</t>
        </is>
      </c>
    </row>
    <row r="911">
      <c r="A911" s="40" t="n"/>
      <c r="B911" s="40" t="inlineStr">
        <is>
          <t>Outras</t>
        </is>
      </c>
      <c r="D911" s="67" t="inlineStr">
        <is>
          <t>Pedro Victor</t>
        </is>
      </c>
      <c r="E911" s="62" t="n">
        <v>45890</v>
      </c>
      <c r="I911" s="67" t="inlineStr">
        <is>
          <t>5040768-85.2025.4.04.7200</t>
        </is>
      </c>
      <c r="J911" s="67" t="inlineStr">
        <is>
          <t>Tarefa</t>
        </is>
      </c>
      <c r="K911" s="62" t="n">
        <v>46059</v>
      </c>
      <c r="L911" s="67" t="inlineStr">
        <is>
          <t>Marelize Controladoria</t>
        </is>
      </c>
      <c r="M911" s="40" t="inlineStr">
        <is>
          <t>Cumprido</t>
        </is>
      </c>
      <c r="N911" s="62" t="n">
        <v>46059</v>
      </c>
      <c r="O911" s="67" t="inlineStr">
        <is>
          <t xml:space="preserve">lizi lançar um rapzo para Jessia fazer uma Exceçãode Préxecutividade, alegando a prescrição das CDA, </t>
        </is>
      </c>
    </row>
    <row r="912">
      <c r="A912" s="40" t="inlineStr">
        <is>
          <t>50039757220244047204</t>
        </is>
      </c>
      <c r="B912" s="40" t="inlineStr">
        <is>
          <t>Outras</t>
        </is>
      </c>
      <c r="D912" s="67" t="inlineStr">
        <is>
          <t>Renata Francisco Becker</t>
        </is>
      </c>
      <c r="E912" s="62" t="n">
        <v>45555</v>
      </c>
      <c r="F912" s="67" t="inlineStr">
        <is>
          <t>Juízo Substituto da 1ª VF de Criciúma</t>
        </is>
      </c>
      <c r="I912" s="67" t="inlineStr">
        <is>
          <t>0001610-62.2025.5.12.0003</t>
        </is>
      </c>
      <c r="J912" s="67" t="inlineStr">
        <is>
          <t>Tarefa</t>
        </is>
      </c>
      <c r="K912" s="62" t="n">
        <v>46059</v>
      </c>
      <c r="L912" s="67" t="inlineStr">
        <is>
          <t>Luci</t>
        </is>
      </c>
      <c r="M912" s="40" t="inlineStr">
        <is>
          <t>Cumprido</t>
        </is>
      </c>
      <c r="N912" s="62" t="n">
        <v>46059</v>
      </c>
      <c r="O912" s="67" t="inlineStr">
        <is>
          <t xml:space="preserve">Preparar cliente para audiencia. </t>
        </is>
      </c>
    </row>
    <row r="913">
      <c r="A913" s="40" t="n"/>
      <c r="B913" s="40" t="inlineStr">
        <is>
          <t>Outras</t>
        </is>
      </c>
      <c r="D913" s="67" t="inlineStr">
        <is>
          <t>Renata Francisco Becker</t>
        </is>
      </c>
      <c r="E913" s="62" t="n">
        <v>45881</v>
      </c>
      <c r="I913" s="67" t="inlineStr">
        <is>
          <t>50178045020248240020</t>
        </is>
      </c>
      <c r="J913" s="67" t="inlineStr">
        <is>
          <t>Tarefa</t>
        </is>
      </c>
      <c r="K913" s="62" t="n">
        <v>46059</v>
      </c>
      <c r="L913" s="67" t="inlineStr">
        <is>
          <t>Renata Francisco Becker</t>
        </is>
      </c>
      <c r="M913" s="40" t="inlineStr">
        <is>
          <t>Cumprido</t>
        </is>
      </c>
      <c r="N913" s="62" t="n">
        <v>46059</v>
      </c>
      <c r="O913" s="67" t="inlineStr">
        <is>
          <t>PREPARAR CLIENTE PARA AUDIENCIA.</t>
        </is>
      </c>
    </row>
    <row r="914">
      <c r="A914" s="40" t="n"/>
      <c r="B914" s="40" t="inlineStr">
        <is>
          <t>Outras</t>
        </is>
      </c>
      <c r="D914" s="67" t="inlineStr">
        <is>
          <t>Pedro Victor</t>
        </is>
      </c>
      <c r="E914" s="62" t="n">
        <v>45539</v>
      </c>
      <c r="I914" s="67" t="inlineStr"/>
      <c r="J914" s="67" t="inlineStr">
        <is>
          <t>Tarefa</t>
        </is>
      </c>
      <c r="K914" s="62" t="n">
        <v>46059</v>
      </c>
      <c r="L914" s="67" t="inlineStr">
        <is>
          <t xml:space="preserve">Alexia </t>
        </is>
      </c>
      <c r="M914" s="40" t="inlineStr">
        <is>
          <t>Cumprido</t>
        </is>
      </c>
      <c r="N914" s="62" t="n">
        <v>46059</v>
      </c>
      <c r="O914" s="67" t="inlineStr">
        <is>
          <t>Protocolo</t>
        </is>
      </c>
    </row>
    <row r="915">
      <c r="A915" s="40" t="inlineStr">
        <is>
          <t>5000689-89.2024.8.24.0028</t>
        </is>
      </c>
      <c r="B915" s="40" t="inlineStr">
        <is>
          <t>Outras</t>
        </is>
      </c>
      <c r="D915" s="67" t="inlineStr">
        <is>
          <t>Pedro Victor</t>
        </is>
      </c>
      <c r="E915" s="62" t="n">
        <v>45341</v>
      </c>
      <c r="F915" s="67" t="inlineStr">
        <is>
          <t>Vara Cível</t>
        </is>
      </c>
      <c r="I915" s="67" t="inlineStr">
        <is>
          <t>5011063-57.2016.4.04.7200</t>
        </is>
      </c>
      <c r="J915" s="67" t="inlineStr">
        <is>
          <t>Tarefa</t>
        </is>
      </c>
      <c r="K915" s="62" t="n">
        <v>46059</v>
      </c>
      <c r="L915" s="67" t="inlineStr">
        <is>
          <t>Renata Francisco Becker</t>
        </is>
      </c>
      <c r="M915" s="40" t="inlineStr">
        <is>
          <t>Cumprido</t>
        </is>
      </c>
      <c r="N915" s="62" t="n">
        <v>46059</v>
      </c>
      <c r="O915" s="67" t="inlineStr">
        <is>
          <t>Protocolo</t>
        </is>
      </c>
    </row>
    <row r="916">
      <c r="A916" s="40" t="inlineStr">
        <is>
          <t>50086310220248240020</t>
        </is>
      </c>
      <c r="B916" s="40" t="inlineStr">
        <is>
          <t>Outras</t>
        </is>
      </c>
      <c r="D916" s="67" t="inlineStr">
        <is>
          <t>Renata Francisco Becker</t>
        </is>
      </c>
      <c r="E916" s="62" t="n">
        <v>45628</v>
      </c>
      <c r="F916" s="67" t="inlineStr"/>
      <c r="I916" s="67" t="inlineStr">
        <is>
          <t>5008937-34.2025.8.24.0020</t>
        </is>
      </c>
      <c r="J916" s="67" t="inlineStr">
        <is>
          <t>Tarefa</t>
        </is>
      </c>
      <c r="K916" s="62" t="n">
        <v>46059</v>
      </c>
      <c r="L916" s="67" t="inlineStr">
        <is>
          <t>Renata Francisco Becker</t>
        </is>
      </c>
      <c r="M916" s="40" t="inlineStr">
        <is>
          <t>Cumprido</t>
        </is>
      </c>
      <c r="N916" s="62" t="n">
        <v>46059</v>
      </c>
      <c r="O916" s="67" t="inlineStr">
        <is>
          <t>Protocolo</t>
        </is>
      </c>
    </row>
    <row r="917">
      <c r="A917" s="40" t="n"/>
      <c r="B917" s="40" t="inlineStr">
        <is>
          <t>Outras</t>
        </is>
      </c>
      <c r="D917" s="67" t="inlineStr">
        <is>
          <t>Renata Francisco Becker</t>
        </is>
      </c>
      <c r="E917" s="62" t="n">
        <v>45722</v>
      </c>
      <c r="I917" s="67" t="inlineStr"/>
      <c r="J917" s="67" t="inlineStr">
        <is>
          <t>Tarefa</t>
        </is>
      </c>
      <c r="K917" s="62" t="n">
        <v>46059</v>
      </c>
      <c r="L917" s="67" t="inlineStr">
        <is>
          <t>Jessica</t>
        </is>
      </c>
      <c r="M917" s="40" t="inlineStr">
        <is>
          <t>Cumprido</t>
        </is>
      </c>
      <c r="N917" s="62" t="n">
        <v>46059</v>
      </c>
      <c r="O917" s="67" t="inlineStr">
        <is>
          <t>RETORNO CLIENTE LÍDIA TURISMO</t>
        </is>
      </c>
    </row>
    <row r="918">
      <c r="A918" s="40" t="inlineStr">
        <is>
          <t>5010587-53.2024.8.24.0020</t>
        </is>
      </c>
      <c r="B918" s="40" t="inlineStr">
        <is>
          <t>Outras</t>
        </is>
      </c>
      <c r="D918" s="67" t="inlineStr">
        <is>
          <t>Renata Francisco Becker</t>
        </is>
      </c>
      <c r="E918" s="62" t="n">
        <v>45785</v>
      </c>
      <c r="F918" s="67" t="inlineStr">
        <is>
          <t>Vara Cível</t>
        </is>
      </c>
      <c r="I918" s="67" t="inlineStr"/>
      <c r="J918" s="67" t="inlineStr">
        <is>
          <t>Tarefa</t>
        </is>
      </c>
      <c r="K918" s="62" t="n">
        <v>46059</v>
      </c>
      <c r="L918" s="67" t="inlineStr">
        <is>
          <t xml:space="preserve">Alexia </t>
        </is>
      </c>
      <c r="M918" s="40" t="inlineStr">
        <is>
          <t>Cumprido</t>
        </is>
      </c>
      <c r="N918" s="62" t="n">
        <v>46059</v>
      </c>
      <c r="O918" s="67" t="inlineStr">
        <is>
          <t>Revisão</t>
        </is>
      </c>
    </row>
    <row r="919">
      <c r="A919" s="40" t="n"/>
      <c r="B919" s="40" t="inlineStr">
        <is>
          <t>Outras</t>
        </is>
      </c>
      <c r="D919" s="67" t="inlineStr">
        <is>
          <t>Pedro Victor</t>
        </is>
      </c>
      <c r="E919" s="62" t="n">
        <v>45826</v>
      </c>
      <c r="I919" s="67" t="inlineStr">
        <is>
          <t>0000160-12.2025.5.12.0027</t>
        </is>
      </c>
      <c r="J919" s="67" t="inlineStr">
        <is>
          <t>Tarefa</t>
        </is>
      </c>
      <c r="K919" s="62" t="n">
        <v>46059</v>
      </c>
      <c r="L919" s="67" t="inlineStr">
        <is>
          <t>Pedro Victor</t>
        </is>
      </c>
      <c r="M919" s="40" t="inlineStr">
        <is>
          <t>Cumprido</t>
        </is>
      </c>
      <c r="N919" s="62" t="n">
        <v>46059</v>
      </c>
      <c r="O919" s="67" t="inlineStr">
        <is>
          <t>Revisão</t>
        </is>
      </c>
    </row>
    <row r="920">
      <c r="A920" s="40" t="n"/>
      <c r="B920" s="40" t="inlineStr">
        <is>
          <t>Outras</t>
        </is>
      </c>
      <c r="D920" s="67" t="inlineStr">
        <is>
          <t>Renata Francisco Becker</t>
        </is>
      </c>
      <c r="E920" s="62" t="n">
        <v>45874</v>
      </c>
      <c r="I920" s="67" t="inlineStr">
        <is>
          <t>5014179-44.2025.4.04.7204</t>
        </is>
      </c>
      <c r="J920" s="67" t="inlineStr">
        <is>
          <t>Tarefa</t>
        </is>
      </c>
      <c r="K920" s="62" t="n">
        <v>46059</v>
      </c>
      <c r="L920" s="67" t="inlineStr">
        <is>
          <t>Pedro Victor</t>
        </is>
      </c>
      <c r="M920" s="40" t="inlineStr">
        <is>
          <t>Cumprido</t>
        </is>
      </c>
      <c r="N920" s="62" t="n">
        <v>46059</v>
      </c>
      <c r="O920" s="67" t="inlineStr">
        <is>
          <t>Revisão</t>
        </is>
      </c>
    </row>
    <row r="921">
      <c r="A921" s="40" t="n"/>
      <c r="B921" s="40" t="inlineStr">
        <is>
          <t>Outras</t>
        </is>
      </c>
      <c r="D921" s="67" t="inlineStr">
        <is>
          <t>Pedro Victor</t>
        </is>
      </c>
      <c r="E921" s="62" t="n">
        <v>45862</v>
      </c>
      <c r="I921" s="67" t="inlineStr">
        <is>
          <t>0000994-78.2025.5.12.0006</t>
        </is>
      </c>
      <c r="J921" s="67" t="inlineStr">
        <is>
          <t>Tarefa</t>
        </is>
      </c>
      <c r="K921" s="62" t="n">
        <v>46059</v>
      </c>
      <c r="L921" s="67" t="inlineStr">
        <is>
          <t>Renata Francisco Becker</t>
        </is>
      </c>
      <c r="M921" s="40" t="inlineStr">
        <is>
          <t>Cumprido</t>
        </is>
      </c>
      <c r="N921" s="62" t="n">
        <v>46059</v>
      </c>
      <c r="O921" s="67" t="inlineStr">
        <is>
          <t>Revisão</t>
        </is>
      </c>
    </row>
    <row r="922">
      <c r="A922" s="40" t="inlineStr">
        <is>
          <t>5007504-90.2020.8.24.0045</t>
        </is>
      </c>
      <c r="B922" s="40" t="inlineStr">
        <is>
          <t>Outras</t>
        </is>
      </c>
      <c r="D922" s="67" t="inlineStr">
        <is>
          <t>Renata Francisco Becker</t>
        </is>
      </c>
      <c r="E922" s="62" t="n">
        <v>44999</v>
      </c>
      <c r="F922" s="67" t="inlineStr"/>
      <c r="I922" s="67" t="inlineStr"/>
      <c r="J922" s="67" t="inlineStr">
        <is>
          <t>Tarefa</t>
        </is>
      </c>
      <c r="K922" s="62" t="n">
        <v>46059</v>
      </c>
      <c r="L922" s="67" t="inlineStr">
        <is>
          <t>Pedro Victor</t>
        </is>
      </c>
      <c r="M922" s="40" t="inlineStr">
        <is>
          <t>Cumprido</t>
        </is>
      </c>
      <c r="N922" s="62" t="n">
        <v>46059</v>
      </c>
      <c r="O922" s="67" t="inlineStr">
        <is>
          <t>Revisão</t>
        </is>
      </c>
    </row>
    <row r="923">
      <c r="A923" s="40" t="n"/>
      <c r="B923" s="40" t="inlineStr">
        <is>
          <t>Outras</t>
        </is>
      </c>
      <c r="D923" s="67" t="inlineStr">
        <is>
          <t>Renata Francisco Becker</t>
        </is>
      </c>
      <c r="E923" s="62" t="n">
        <v>45873</v>
      </c>
      <c r="I923" s="67" t="inlineStr"/>
      <c r="J923" s="67" t="inlineStr">
        <is>
          <t>Tarefa</t>
        </is>
      </c>
      <c r="K923" s="62" t="n">
        <v>46059</v>
      </c>
      <c r="L923" s="67" t="inlineStr">
        <is>
          <t>Marelize Controladoria</t>
        </is>
      </c>
      <c r="M923" s="40" t="inlineStr">
        <is>
          <t>Cumprido</t>
        </is>
      </c>
      <c r="N923" s="62" t="n">
        <v>46059</v>
      </c>
      <c r="O923" s="67" t="inlineStr">
        <is>
          <t>Verificar 2 etapa analise geral do cliente</t>
        </is>
      </c>
    </row>
    <row r="924">
      <c r="A924" s="40" t="inlineStr">
        <is>
          <t>5013754-44.2025.8.24.0020</t>
        </is>
      </c>
      <c r="B924" s="40" t="inlineStr">
        <is>
          <t>Outras</t>
        </is>
      </c>
      <c r="D924" s="67" t="inlineStr">
        <is>
          <t>Renata Francisco Becker</t>
        </is>
      </c>
      <c r="E924" s="62" t="n">
        <v>45814</v>
      </c>
      <c r="F924" s="67" t="inlineStr">
        <is>
          <t>Juízo da Vara da Família da Comarca de Criciúma</t>
        </is>
      </c>
      <c r="I924" s="67" t="inlineStr"/>
      <c r="J924" s="67" t="inlineStr">
        <is>
          <t>Evento</t>
        </is>
      </c>
      <c r="K924" s="62" t="n">
        <v>46059</v>
      </c>
      <c r="L924" s="67" t="inlineStr">
        <is>
          <t>Julia</t>
        </is>
      </c>
      <c r="M924" s="40" t="inlineStr">
        <is>
          <t>Cumprido</t>
        </is>
      </c>
      <c r="N924" s="62" t="n">
        <v>46059</v>
      </c>
      <c r="O924" s="67" t="inlineStr">
        <is>
          <t>Atendimento Joel Granda Engenharia</t>
        </is>
      </c>
    </row>
    <row r="925">
      <c r="A925" s="40" t="n"/>
      <c r="B925" s="40" t="inlineStr">
        <is>
          <t>Outras</t>
        </is>
      </c>
      <c r="D925" s="67" t="inlineStr">
        <is>
          <t>Pedro Victor</t>
        </is>
      </c>
      <c r="E925" s="62" t="n">
        <v>45539</v>
      </c>
      <c r="I925" s="67" t="inlineStr"/>
      <c r="J925" s="67" t="inlineStr">
        <is>
          <t>Evento</t>
        </is>
      </c>
      <c r="K925" s="62" t="n">
        <v>46059</v>
      </c>
      <c r="L925" s="67" t="inlineStr">
        <is>
          <t>Pedro Victor</t>
        </is>
      </c>
      <c r="M925" s="40" t="inlineStr">
        <is>
          <t>Cumprido</t>
        </is>
      </c>
      <c r="N925" s="62" t="n">
        <v>46059</v>
      </c>
      <c r="O925" s="67" t="inlineStr">
        <is>
          <t>Reunião Cresci Perdi</t>
        </is>
      </c>
    </row>
    <row r="926">
      <c r="A926" s="40" t="n"/>
      <c r="B926" s="40" t="inlineStr">
        <is>
          <t>Outras</t>
        </is>
      </c>
      <c r="D926" s="67" t="inlineStr">
        <is>
          <t>Renata Francisco Becker</t>
        </is>
      </c>
      <c r="E926" s="62" t="n">
        <v>45861</v>
      </c>
      <c r="I926" s="67" t="inlineStr"/>
      <c r="J926" s="67" t="inlineStr">
        <is>
          <t>Evento</t>
        </is>
      </c>
      <c r="K926" s="62" t="n">
        <v>46059</v>
      </c>
      <c r="L926" s="67" t="inlineStr">
        <is>
          <t>Pedro Victor</t>
        </is>
      </c>
      <c r="M926" s="40" t="inlineStr">
        <is>
          <t>Cumprido</t>
        </is>
      </c>
      <c r="N926" s="62" t="n">
        <v>46059</v>
      </c>
      <c r="O926" s="67" t="inlineStr">
        <is>
          <t>Reunião na empresa Geobras</t>
        </is>
      </c>
    </row>
    <row r="927">
      <c r="A927" s="40" t="n"/>
      <c r="B927" s="40" t="inlineStr">
        <is>
          <t>Outras</t>
        </is>
      </c>
      <c r="D927" s="67" t="inlineStr">
        <is>
          <t>Pedro Victor</t>
        </is>
      </c>
      <c r="E927" s="62" t="n">
        <v>45539</v>
      </c>
      <c r="I927" s="67" t="inlineStr"/>
      <c r="J927" s="67" t="inlineStr">
        <is>
          <t>Prazo</t>
        </is>
      </c>
      <c r="K927" s="62" t="n">
        <v>46062</v>
      </c>
      <c r="L927" s="67" t="inlineStr">
        <is>
          <t xml:space="preserve">Lucas </t>
        </is>
      </c>
      <c r="M927" s="40" t="inlineStr">
        <is>
          <t>Cumprido</t>
        </is>
      </c>
      <c r="N927" s="62" t="n">
        <v>46062</v>
      </c>
      <c r="O927" s="67" t="inlineStr">
        <is>
          <t>Auditoria Trabalhista Expresso Imbituba</t>
        </is>
      </c>
    </row>
    <row r="928">
      <c r="A928" s="40" t="n"/>
      <c r="B928" s="40" t="inlineStr">
        <is>
          <t>Outras</t>
        </is>
      </c>
      <c r="D928" s="67" t="inlineStr">
        <is>
          <t>Pedro Victor</t>
        </is>
      </c>
      <c r="E928" s="62" t="n">
        <v>45539</v>
      </c>
      <c r="I928" s="67" t="inlineStr">
        <is>
          <t>50298694320258240020</t>
        </is>
      </c>
      <c r="J928" s="67" t="inlineStr">
        <is>
          <t>Prazo</t>
        </is>
      </c>
      <c r="K928" s="62" t="n">
        <v>46062</v>
      </c>
      <c r="L928" s="67" t="inlineStr">
        <is>
          <t xml:space="preserve">Alexia </t>
        </is>
      </c>
      <c r="M928" s="40" t="inlineStr">
        <is>
          <t>Cumprido</t>
        </is>
      </c>
      <c r="N928" s="62" t="n">
        <v>46062</v>
      </c>
      <c r="O928" s="67" t="inlineStr">
        <is>
          <t>Contestação</t>
        </is>
      </c>
    </row>
    <row r="929">
      <c r="A929" s="40" t="n"/>
      <c r="B929" s="40" t="inlineStr">
        <is>
          <t>Outras</t>
        </is>
      </c>
      <c r="D929" s="67" t="inlineStr">
        <is>
          <t>Pedro Victor</t>
        </is>
      </c>
      <c r="E929" s="62" t="n">
        <v>45539</v>
      </c>
      <c r="I929" s="67" t="inlineStr"/>
      <c r="J929" s="67" t="inlineStr">
        <is>
          <t>Prazo</t>
        </is>
      </c>
      <c r="K929" s="62" t="n">
        <v>46062</v>
      </c>
      <c r="L929" s="67" t="inlineStr">
        <is>
          <t xml:space="preserve">Lucas </t>
        </is>
      </c>
      <c r="M929" s="40" t="inlineStr">
        <is>
          <t>Cumprido</t>
        </is>
      </c>
      <c r="N929" s="62" t="n">
        <v>46062</v>
      </c>
      <c r="O929" s="67" t="inlineStr">
        <is>
          <t>Defesa de multa 20/03/2026</t>
        </is>
      </c>
    </row>
    <row r="930">
      <c r="A930" s="40" t="n"/>
      <c r="B930" s="40" t="inlineStr">
        <is>
          <t>Outras</t>
        </is>
      </c>
      <c r="D930" s="67" t="inlineStr">
        <is>
          <t>Pedro Victor</t>
        </is>
      </c>
      <c r="E930" s="62" t="n">
        <v>45539</v>
      </c>
      <c r="I930" s="67" t="inlineStr"/>
      <c r="J930" s="67" t="inlineStr">
        <is>
          <t>Prazo</t>
        </is>
      </c>
      <c r="K930" s="62" t="n">
        <v>46062</v>
      </c>
      <c r="L930" s="67" t="inlineStr">
        <is>
          <t xml:space="preserve">Lucas </t>
        </is>
      </c>
      <c r="M930" s="40" t="inlineStr">
        <is>
          <t>Cumprido</t>
        </is>
      </c>
      <c r="N930" s="62" t="n">
        <v>46062</v>
      </c>
      <c r="O930" s="67" t="inlineStr">
        <is>
          <t>Defesa de multa 20/03/2026</t>
        </is>
      </c>
    </row>
    <row r="931">
      <c r="A931" s="40" t="n"/>
      <c r="B931" s="40" t="inlineStr">
        <is>
          <t>Outras</t>
        </is>
      </c>
      <c r="D931" s="67" t="inlineStr">
        <is>
          <t>Pedro Victor</t>
        </is>
      </c>
      <c r="E931" s="62" t="n">
        <v>45492</v>
      </c>
      <c r="I931" s="67" t="inlineStr"/>
      <c r="J931" s="67" t="inlineStr">
        <is>
          <t>Prazo</t>
        </is>
      </c>
      <c r="K931" s="62" t="n">
        <v>46062</v>
      </c>
      <c r="L931" s="67" t="inlineStr">
        <is>
          <t xml:space="preserve">Lucas </t>
        </is>
      </c>
      <c r="M931" s="40" t="inlineStr">
        <is>
          <t>Cumprido</t>
        </is>
      </c>
      <c r="N931" s="62" t="n">
        <v>46062</v>
      </c>
      <c r="O931" s="67" t="inlineStr">
        <is>
          <t>Defesa de multa 20/03/2026</t>
        </is>
      </c>
    </row>
    <row r="932">
      <c r="A932" s="40" t="n"/>
      <c r="B932" s="40" t="inlineStr">
        <is>
          <t>Outras</t>
        </is>
      </c>
      <c r="D932" s="67" t="inlineStr">
        <is>
          <t>Pedro Victor</t>
        </is>
      </c>
      <c r="E932" s="62" t="n">
        <v>45539</v>
      </c>
      <c r="I932" s="67" t="inlineStr">
        <is>
          <t>50178045020248240020</t>
        </is>
      </c>
      <c r="J932" s="67" t="inlineStr">
        <is>
          <t>Prazo</t>
        </is>
      </c>
      <c r="K932" s="62" t="n">
        <v>46062</v>
      </c>
      <c r="L932" s="67" t="inlineStr">
        <is>
          <t xml:space="preserve">Lucas </t>
        </is>
      </c>
      <c r="M932" s="40" t="inlineStr">
        <is>
          <t>Cumprido</t>
        </is>
      </c>
      <c r="N932" s="62" t="n">
        <v>46062</v>
      </c>
      <c r="O932" s="67" t="inlineStr">
        <is>
          <t>Elaboração de declaração de comparecimento no escritório das 13:30 até 14:20</t>
        </is>
      </c>
    </row>
    <row r="933">
      <c r="A933" s="40" t="n"/>
      <c r="B933" s="40" t="inlineStr">
        <is>
          <t>Outras</t>
        </is>
      </c>
      <c r="D933" s="67" t="inlineStr">
        <is>
          <t>Renata Francisco Becker</t>
        </is>
      </c>
      <c r="E933" s="62" t="n">
        <v>45870</v>
      </c>
      <c r="I933" s="67" t="inlineStr">
        <is>
          <t>5001708-12.2021.8.24.0166</t>
        </is>
      </c>
      <c r="J933" s="67" t="inlineStr">
        <is>
          <t>Prazo</t>
        </is>
      </c>
      <c r="K933" s="62" t="n">
        <v>46062</v>
      </c>
      <c r="L933" s="67" t="inlineStr">
        <is>
          <t xml:space="preserve">Alexia </t>
        </is>
      </c>
      <c r="M933" s="40" t="inlineStr">
        <is>
          <t>Cumprido</t>
        </is>
      </c>
      <c r="N933" s="62" t="n">
        <v>46062</v>
      </c>
      <c r="O933" s="67" t="inlineStr">
        <is>
          <t>Emissão de guia e juntada no processo</t>
        </is>
      </c>
    </row>
    <row r="934">
      <c r="A934" s="40" t="n"/>
      <c r="B934" s="40" t="inlineStr">
        <is>
          <t>Outras</t>
        </is>
      </c>
      <c r="D934" s="67" t="inlineStr">
        <is>
          <t>Luci</t>
        </is>
      </c>
      <c r="E934" s="62" t="n">
        <v>45762</v>
      </c>
      <c r="I934" s="67" t="inlineStr"/>
      <c r="J934" s="67" t="inlineStr">
        <is>
          <t>Prazo</t>
        </is>
      </c>
      <c r="K934" s="62" t="n">
        <v>46062</v>
      </c>
      <c r="L934" s="67" t="inlineStr">
        <is>
          <t>Jessica</t>
        </is>
      </c>
      <c r="M934" s="40" t="inlineStr">
        <is>
          <t>Cumprido</t>
        </is>
      </c>
      <c r="N934" s="62" t="n">
        <v>46062</v>
      </c>
      <c r="O934" s="67" t="inlineStr">
        <is>
          <t>Notificação INMETRO JJ</t>
        </is>
      </c>
    </row>
    <row r="935">
      <c r="A935" s="40" t="inlineStr">
        <is>
          <t>100/2025 - 8149</t>
        </is>
      </c>
      <c r="B935" s="40" t="inlineStr">
        <is>
          <t>Outras</t>
        </is>
      </c>
      <c r="D935" s="67" t="inlineStr">
        <is>
          <t>Renata Francisco Becker</t>
        </is>
      </c>
      <c r="E935" s="62" t="n">
        <v>45860</v>
      </c>
      <c r="F935" s="67" t="inlineStr">
        <is>
          <t>DETRAN</t>
        </is>
      </c>
      <c r="I935" s="67" t="inlineStr">
        <is>
          <t>5005212-03.2026.8.24.0020</t>
        </is>
      </c>
      <c r="J935" s="67" t="inlineStr">
        <is>
          <t>Prazo</t>
        </is>
      </c>
      <c r="K935" s="62" t="n">
        <v>46062</v>
      </c>
      <c r="L935" s="67" t="inlineStr">
        <is>
          <t>Marelize Controladoria</t>
        </is>
      </c>
      <c r="M935" s="40" t="inlineStr">
        <is>
          <t>Cumprido</t>
        </is>
      </c>
      <c r="N935" s="62" t="n">
        <v>46062</v>
      </c>
      <c r="O935" s="67" t="inlineStr">
        <is>
          <t>PETIÇÃO INICIAL</t>
        </is>
      </c>
    </row>
    <row r="936">
      <c r="A936" s="40" t="n"/>
      <c r="B936" s="40" t="inlineStr">
        <is>
          <t>Outras</t>
        </is>
      </c>
      <c r="D936" s="67" t="inlineStr">
        <is>
          <t>Renata Francisco Becker</t>
        </is>
      </c>
      <c r="E936" s="62" t="n">
        <v>45834</v>
      </c>
      <c r="I936" s="67" t="inlineStr">
        <is>
          <t>5000540-03.2026.4.04.0000</t>
        </is>
      </c>
      <c r="J936" s="67" t="inlineStr">
        <is>
          <t>Prazo</t>
        </is>
      </c>
      <c r="K936" s="62" t="n">
        <v>46062</v>
      </c>
      <c r="L936" s="67" t="inlineStr">
        <is>
          <t>Jessica</t>
        </is>
      </c>
      <c r="M936" s="40" t="inlineStr">
        <is>
          <t>Cumprido</t>
        </is>
      </c>
      <c r="N936" s="62" t="n">
        <v>46062</v>
      </c>
      <c r="O936" s="67" t="inlineStr">
        <is>
          <t>Prazo Decisão</t>
        </is>
      </c>
    </row>
    <row r="937">
      <c r="A937" s="40" t="inlineStr">
        <is>
          <t>00013426120165120055</t>
        </is>
      </c>
      <c r="B937" s="40" t="inlineStr">
        <is>
          <t>Outras</t>
        </is>
      </c>
      <c r="D937" s="67" t="inlineStr">
        <is>
          <t>Pedro Victor</t>
        </is>
      </c>
      <c r="E937" s="62" t="n">
        <v>44901</v>
      </c>
      <c r="F937" s="67" t="inlineStr">
        <is>
          <t>4ª VARA DO TRABALHO DE CRICIÚMA</t>
        </is>
      </c>
      <c r="I937" s="67" t="inlineStr"/>
      <c r="J937" s="67" t="inlineStr">
        <is>
          <t>Prazo</t>
        </is>
      </c>
      <c r="K937" s="62" t="n">
        <v>46062</v>
      </c>
      <c r="L937" s="67" t="inlineStr">
        <is>
          <t xml:space="preserve">Alexia </t>
        </is>
      </c>
      <c r="M937" s="40" t="inlineStr">
        <is>
          <t>Cumprido</t>
        </is>
      </c>
      <c r="N937" s="62" t="n">
        <v>46062</v>
      </c>
      <c r="O937" s="67" t="inlineStr">
        <is>
          <t>Prazo foro de incompetencia (Matriz - Filial)</t>
        </is>
      </c>
    </row>
    <row r="938">
      <c r="A938" s="40" t="n"/>
      <c r="B938" s="40" t="inlineStr">
        <is>
          <t>Outras</t>
        </is>
      </c>
      <c r="D938" s="67" t="inlineStr">
        <is>
          <t>Renata Francisco Becker</t>
        </is>
      </c>
      <c r="E938" s="62" t="n">
        <v>45870</v>
      </c>
      <c r="I938" s="67" t="inlineStr"/>
      <c r="J938" s="67" t="inlineStr">
        <is>
          <t>Prazo</t>
        </is>
      </c>
      <c r="K938" s="62" t="n">
        <v>46062</v>
      </c>
      <c r="L938" s="67" t="inlineStr">
        <is>
          <t xml:space="preserve">Alexia </t>
        </is>
      </c>
      <c r="M938" s="40" t="inlineStr">
        <is>
          <t>Cumprido</t>
        </is>
      </c>
      <c r="N938" s="62" t="n">
        <v>46062</v>
      </c>
      <c r="O938" s="67" t="inlineStr">
        <is>
          <t>Prazo foro de incompetencia (Nordeste)</t>
        </is>
      </c>
    </row>
    <row r="939">
      <c r="A939" s="40" t="n"/>
      <c r="B939" s="40" t="inlineStr">
        <is>
          <t>Outras</t>
        </is>
      </c>
      <c r="D939" s="67" t="inlineStr">
        <is>
          <t>Renata Francisco Becker</t>
        </is>
      </c>
      <c r="E939" s="62" t="n">
        <v>45876</v>
      </c>
      <c r="I939" s="67" t="inlineStr">
        <is>
          <t>0000198-30.2026.5.12.0046</t>
        </is>
      </c>
      <c r="J939" s="67" t="inlineStr">
        <is>
          <t>Prazo</t>
        </is>
      </c>
      <c r="K939" s="62" t="n">
        <v>46062</v>
      </c>
      <c r="L939" s="67" t="inlineStr">
        <is>
          <t>Luci</t>
        </is>
      </c>
      <c r="M939" s="40" t="inlineStr">
        <is>
          <t>Cumprido</t>
        </is>
      </c>
      <c r="N939" s="62" t="n">
        <v>46062</v>
      </c>
      <c r="O939" s="67" t="inlineStr">
        <is>
          <t>Reclamatoria trabalhista</t>
        </is>
      </c>
    </row>
    <row r="940">
      <c r="A940" s="40" t="n"/>
      <c r="B940" s="40" t="inlineStr">
        <is>
          <t>Outras</t>
        </is>
      </c>
      <c r="D940" s="67" t="inlineStr">
        <is>
          <t>Renata Francisco Becker</t>
        </is>
      </c>
      <c r="E940" s="62" t="n">
        <v>45863</v>
      </c>
      <c r="I940" s="67" t="inlineStr"/>
      <c r="J940" s="67" t="inlineStr">
        <is>
          <t>Prazo</t>
        </is>
      </c>
      <c r="K940" s="62" t="n">
        <v>46062</v>
      </c>
      <c r="L940" s="67" t="inlineStr">
        <is>
          <t>Jessica</t>
        </is>
      </c>
      <c r="M940" s="40" t="inlineStr">
        <is>
          <t>Cumprido</t>
        </is>
      </c>
      <c r="N940" s="62" t="n">
        <v>46062</v>
      </c>
      <c r="O940" s="67" t="inlineStr">
        <is>
          <t>Registro de Marca</t>
        </is>
      </c>
    </row>
    <row r="941">
      <c r="A941" s="40" t="n"/>
      <c r="B941" s="40" t="inlineStr">
        <is>
          <t>Outras</t>
        </is>
      </c>
      <c r="D941" s="67" t="inlineStr">
        <is>
          <t>Luci</t>
        </is>
      </c>
      <c r="E941" s="62" t="n">
        <v>45867</v>
      </c>
      <c r="I941" s="67" t="inlineStr"/>
      <c r="J941" s="67" t="inlineStr">
        <is>
          <t>Prazo</t>
        </is>
      </c>
      <c r="K941" s="62" t="n">
        <v>46062</v>
      </c>
      <c r="L941" s="67" t="inlineStr">
        <is>
          <t>Julia</t>
        </is>
      </c>
      <c r="M941" s="40" t="inlineStr">
        <is>
          <t>Cumprido</t>
        </is>
      </c>
      <c r="N941" s="62" t="n">
        <v>46062</v>
      </c>
      <c r="O941" s="67" t="inlineStr">
        <is>
          <t>URGENCIA - Elaboração de contrato Raríssima Joias</t>
        </is>
      </c>
    </row>
    <row r="942">
      <c r="A942" s="40" t="inlineStr">
        <is>
          <t>5007505-11.2024.8.21.0048</t>
        </is>
      </c>
      <c r="B942" s="40" t="inlineStr">
        <is>
          <t>Outras</t>
        </is>
      </c>
      <c r="D942" s="67" t="inlineStr">
        <is>
          <t>Renata Francisco Becker</t>
        </is>
      </c>
      <c r="E942" s="62" t="n">
        <v>45758</v>
      </c>
      <c r="F942" s="67" t="inlineStr">
        <is>
          <t>1° vara</t>
        </is>
      </c>
      <c r="I942" s="67" t="inlineStr">
        <is>
          <t>5000540-03.2026.4.04.0000</t>
        </is>
      </c>
      <c r="J942" s="67" t="inlineStr">
        <is>
          <t>Tarefa</t>
        </is>
      </c>
      <c r="K942" s="62" t="n">
        <v>46062</v>
      </c>
      <c r="L942" s="67" t="inlineStr">
        <is>
          <t>Jessica</t>
        </is>
      </c>
      <c r="M942" s="40" t="inlineStr">
        <is>
          <t>Cumprido</t>
        </is>
      </c>
      <c r="N942" s="62" t="n">
        <v>46062</v>
      </c>
      <c r="O942" s="67" t="inlineStr">
        <is>
          <t>Elaboração</t>
        </is>
      </c>
    </row>
    <row r="943">
      <c r="A943" s="40" t="n"/>
      <c r="B943" s="40" t="inlineStr">
        <is>
          <t>Outras</t>
        </is>
      </c>
      <c r="D943" s="67" t="inlineStr">
        <is>
          <t>Renata Francisco Becker</t>
        </is>
      </c>
      <c r="E943" s="62" t="n">
        <v>45811</v>
      </c>
      <c r="I943" s="67" t="inlineStr"/>
      <c r="J943" s="67" t="inlineStr">
        <is>
          <t>Tarefa</t>
        </is>
      </c>
      <c r="K943" s="62" t="n">
        <v>46062</v>
      </c>
      <c r="L943" s="67" t="inlineStr">
        <is>
          <t xml:space="preserve">Lucas </t>
        </is>
      </c>
      <c r="M943" s="40" t="inlineStr">
        <is>
          <t>Cumprido</t>
        </is>
      </c>
      <c r="N943" s="62" t="n">
        <v>46062</v>
      </c>
      <c r="O943" s="67" t="inlineStr">
        <is>
          <t>Elaboração (Confecção de documetos)</t>
        </is>
      </c>
    </row>
    <row r="944">
      <c r="A944" s="40" t="inlineStr">
        <is>
          <t>5012237-84.2019.4.04.7204</t>
        </is>
      </c>
      <c r="B944" s="40" t="inlineStr">
        <is>
          <t>Outras</t>
        </is>
      </c>
      <c r="D944" s="67" t="inlineStr">
        <is>
          <t>Renata Francisco Becker</t>
        </is>
      </c>
      <c r="E944" s="62" t="n">
        <v>44707</v>
      </c>
      <c r="F944" s="67" t="inlineStr">
        <is>
          <t>Juízo Substituto da 4ª VF de Criciúma</t>
        </is>
      </c>
      <c r="I944" s="67" t="inlineStr"/>
      <c r="J944" s="67" t="inlineStr">
        <is>
          <t>Tarefa</t>
        </is>
      </c>
      <c r="K944" s="62" t="n">
        <v>46062</v>
      </c>
      <c r="L944" s="67" t="inlineStr">
        <is>
          <t>Jessica</t>
        </is>
      </c>
      <c r="M944" s="40" t="inlineStr">
        <is>
          <t>Cumprido</t>
        </is>
      </c>
      <c r="N944" s="62" t="n">
        <v>46062</v>
      </c>
      <c r="O944" s="67" t="inlineStr">
        <is>
          <t>URGENTE - Para conseguir acessar a procuração é necessário fazer o aceite, que deve ser feito diretamente pelo gov do Escritório/Rê. Re dar o aceite na procuração. O cliente tem urgencia na emissao das guias, pois esta atrasada a parcela e ele corre o risco de ter o parcelamento rescindido.</t>
        </is>
      </c>
    </row>
    <row r="945">
      <c r="A945" s="40" t="inlineStr">
        <is>
          <t>5012248-16.2019.4.04.7204</t>
        </is>
      </c>
      <c r="B945" s="40" t="inlineStr">
        <is>
          <t>Outras</t>
        </is>
      </c>
      <c r="D945" s="67" t="inlineStr">
        <is>
          <t>Renata Francisco Becker</t>
        </is>
      </c>
      <c r="E945" s="62" t="n">
        <v>44998</v>
      </c>
      <c r="F945" s="67" t="inlineStr">
        <is>
          <t>Juízo Federal da 4ª VF de Criciúma</t>
        </is>
      </c>
      <c r="I945" s="67" t="inlineStr">
        <is>
          <t>01560009520055120033</t>
        </is>
      </c>
      <c r="J945" s="67" t="inlineStr">
        <is>
          <t>Tarefa</t>
        </is>
      </c>
      <c r="K945" s="62" t="n">
        <v>46062</v>
      </c>
      <c r="L945" s="67" t="inlineStr">
        <is>
          <t>Luci</t>
        </is>
      </c>
      <c r="M945" s="40" t="inlineStr">
        <is>
          <t>Cumprido</t>
        </is>
      </c>
      <c r="N945" s="62" t="n">
        <v>46062</v>
      </c>
      <c r="O945" s="67" t="inlineStr">
        <is>
          <t xml:space="preserve">cobrar documentos do cliente </t>
        </is>
      </c>
    </row>
    <row r="946">
      <c r="A946" s="40" t="n"/>
      <c r="B946" s="40" t="inlineStr">
        <is>
          <t>Outras</t>
        </is>
      </c>
      <c r="D946" s="67" t="inlineStr">
        <is>
          <t>Renata Francisco Becker</t>
        </is>
      </c>
      <c r="E946" s="62" t="n">
        <v>45854</v>
      </c>
      <c r="I946" s="67" t="inlineStr">
        <is>
          <t>0001450-62.2025.5.12.0027</t>
        </is>
      </c>
      <c r="J946" s="67" t="inlineStr">
        <is>
          <t>Tarefa</t>
        </is>
      </c>
      <c r="K946" s="62" t="n">
        <v>46062</v>
      </c>
      <c r="L946" s="67" t="inlineStr">
        <is>
          <t>Luci</t>
        </is>
      </c>
      <c r="M946" s="40" t="inlineStr">
        <is>
          <t>Cumprido</t>
        </is>
      </c>
      <c r="N946" s="62" t="n">
        <v>46062</v>
      </c>
      <c r="O946" s="67" t="inlineStr">
        <is>
          <t xml:space="preserve">Protocolo </t>
        </is>
      </c>
    </row>
    <row r="947">
      <c r="A947" s="40" t="inlineStr">
        <is>
          <t>0003439-55.2015.5.12.0027</t>
        </is>
      </c>
      <c r="B947" s="40" t="inlineStr">
        <is>
          <t>Outras</t>
        </is>
      </c>
      <c r="D947" s="67" t="inlineStr">
        <is>
          <t>Renata Francisco Becker</t>
        </is>
      </c>
      <c r="E947" s="62" t="n">
        <v>44705</v>
      </c>
      <c r="F947" s="67" t="inlineStr">
        <is>
          <t>2ª VARA DO TRABALHO DE CRICIÚMA</t>
        </is>
      </c>
      <c r="I947" s="67" t="inlineStr">
        <is>
          <t>5028872-60.2025.8.24.0020</t>
        </is>
      </c>
      <c r="J947" s="67" t="inlineStr">
        <is>
          <t>Tarefa</t>
        </is>
      </c>
      <c r="K947" s="62" t="n">
        <v>46062</v>
      </c>
      <c r="L947" s="67" t="inlineStr">
        <is>
          <t>Julia</t>
        </is>
      </c>
      <c r="M947" s="40" t="inlineStr">
        <is>
          <t>Cumprido</t>
        </is>
      </c>
      <c r="N947" s="62" t="n">
        <v>46062</v>
      </c>
      <c r="O947" s="67" t="inlineStr">
        <is>
          <t xml:space="preserve">Protocolo </t>
        </is>
      </c>
    </row>
    <row r="948">
      <c r="A948" s="40" t="inlineStr">
        <is>
          <t>50006321120258240069</t>
        </is>
      </c>
      <c r="B948" s="40" t="inlineStr">
        <is>
          <t>Outras</t>
        </is>
      </c>
      <c r="D948" s="67" t="inlineStr">
        <is>
          <t>Pedro Victor</t>
        </is>
      </c>
      <c r="E948" s="62" t="n">
        <v>45716</v>
      </c>
      <c r="F948" s="67" t="inlineStr">
        <is>
          <t>Juízo da 1ª Vara da Comarca de Sombrio</t>
        </is>
      </c>
      <c r="I948" s="67" t="inlineStr">
        <is>
          <t>50411418520254040000</t>
        </is>
      </c>
      <c r="J948" s="67" t="inlineStr">
        <is>
          <t>Tarefa</t>
        </is>
      </c>
      <c r="K948" s="62" t="n">
        <v>46062</v>
      </c>
      <c r="L948" s="67" t="inlineStr">
        <is>
          <t>Jessica</t>
        </is>
      </c>
      <c r="M948" s="40" t="inlineStr">
        <is>
          <t>Cumprido</t>
        </is>
      </c>
      <c r="N948" s="62" t="n">
        <v>46062</v>
      </c>
      <c r="O948" s="67" t="inlineStr">
        <is>
          <t>Revisão</t>
        </is>
      </c>
    </row>
    <row r="949">
      <c r="A949" s="40" t="inlineStr">
        <is>
          <t>5012323-89.2018.4.04.7204</t>
        </is>
      </c>
      <c r="B949" s="40" t="inlineStr">
        <is>
          <t>Outras</t>
        </is>
      </c>
      <c r="D949" s="67" t="inlineStr">
        <is>
          <t>Renata Francisco Becker</t>
        </is>
      </c>
      <c r="E949" s="62" t="n">
        <v>45754</v>
      </c>
      <c r="F949" s="67" t="inlineStr"/>
      <c r="I949" s="67" t="inlineStr"/>
      <c r="J949" s="67" t="inlineStr">
        <is>
          <t>Tarefa</t>
        </is>
      </c>
      <c r="K949" s="62" t="n">
        <v>46062</v>
      </c>
      <c r="L949" s="67" t="inlineStr">
        <is>
          <t>Marelize Controladoria</t>
        </is>
      </c>
      <c r="M949" s="40" t="inlineStr">
        <is>
          <t>Cumprido</t>
        </is>
      </c>
      <c r="N949" s="62" t="n">
        <v>46062</v>
      </c>
      <c r="O949" s="67" t="inlineStr">
        <is>
          <t>09/02/2026 - Conferir prazos no TJs - TJSC - TJRS - TRT12 - TRF4 - JFSC - TJRJ - TJPR - TJPA - TJSP - TJGO;</t>
        </is>
      </c>
    </row>
    <row r="950">
      <c r="A950" s="40" t="n"/>
      <c r="B950" s="40" t="inlineStr">
        <is>
          <t>Outras</t>
        </is>
      </c>
      <c r="D950" s="67" t="inlineStr">
        <is>
          <t>Renata Francisco Becker</t>
        </is>
      </c>
      <c r="E950" s="62" t="n">
        <v>45861</v>
      </c>
      <c r="I950" s="67" t="inlineStr"/>
      <c r="J950" s="67" t="inlineStr">
        <is>
          <t>Tarefa</t>
        </is>
      </c>
      <c r="K950" s="62" t="n">
        <v>46062</v>
      </c>
      <c r="L950" s="67" t="inlineStr">
        <is>
          <t>Marelize Controladoria</t>
        </is>
      </c>
      <c r="M950" s="40" t="inlineStr">
        <is>
          <t>Cumprido</t>
        </is>
      </c>
      <c r="N950" s="62" t="n">
        <v>46062</v>
      </c>
      <c r="O950" s="67" t="inlineStr">
        <is>
          <t>09/02/2026 - Fazer Agendas.</t>
        </is>
      </c>
    </row>
    <row r="951">
      <c r="A951" s="40" t="inlineStr">
        <is>
          <t>5031083-60.2025.8.24.0023</t>
        </is>
      </c>
      <c r="B951" s="40" t="inlineStr">
        <is>
          <t>Outras</t>
        </is>
      </c>
      <c r="D951" s="67" t="inlineStr">
        <is>
          <t>Renata Francisco Becker</t>
        </is>
      </c>
      <c r="E951" s="62" t="n">
        <v>45723</v>
      </c>
      <c r="F951" s="67" t="inlineStr"/>
      <c r="I951" s="67" t="inlineStr"/>
      <c r="J951" s="67" t="inlineStr">
        <is>
          <t>Tarefa</t>
        </is>
      </c>
      <c r="K951" s="62" t="n">
        <v>46062</v>
      </c>
      <c r="L951" s="67" t="inlineStr">
        <is>
          <t>Marelize Controladoria</t>
        </is>
      </c>
      <c r="M951" s="40" t="inlineStr">
        <is>
          <t>Cumprido</t>
        </is>
      </c>
      <c r="N951" s="62" t="n">
        <v>46062</v>
      </c>
      <c r="O951" s="67" t="inlineStr">
        <is>
          <t>09/02/2026 - Fazer Publicações.</t>
        </is>
      </c>
    </row>
    <row r="952">
      <c r="A952" s="40" t="n"/>
      <c r="B952" s="40" t="inlineStr">
        <is>
          <t>Outras</t>
        </is>
      </c>
      <c r="D952" s="67" t="inlineStr">
        <is>
          <t>Renata Francisco Becker</t>
        </is>
      </c>
      <c r="E952" s="62" t="n">
        <v>45856</v>
      </c>
      <c r="I952" s="67" t="inlineStr"/>
      <c r="J952" s="67" t="inlineStr">
        <is>
          <t>Tarefa</t>
        </is>
      </c>
      <c r="K952" s="62" t="n">
        <v>46062</v>
      </c>
      <c r="L952" s="67" t="inlineStr">
        <is>
          <t>Marelize Controladoria</t>
        </is>
      </c>
      <c r="M952" s="40" t="inlineStr">
        <is>
          <t>Cumprido</t>
        </is>
      </c>
      <c r="N952" s="62" t="n">
        <v>46062</v>
      </c>
      <c r="O952" s="67" t="inlineStr">
        <is>
          <t>09/02/2026 - Olhar E-mails.</t>
        </is>
      </c>
    </row>
    <row r="953">
      <c r="A953" s="40" t="n"/>
      <c r="B953" s="40" t="inlineStr">
        <is>
          <t>Outras</t>
        </is>
      </c>
      <c r="D953" s="67" t="inlineStr">
        <is>
          <t>Renata Francisco Becker</t>
        </is>
      </c>
      <c r="E953" s="62" t="n">
        <v>45741</v>
      </c>
      <c r="I953" s="67" t="inlineStr"/>
      <c r="J953" s="67" t="inlineStr">
        <is>
          <t>Tarefa</t>
        </is>
      </c>
      <c r="K953" s="62" t="n">
        <v>46062</v>
      </c>
      <c r="L953" s="67" t="inlineStr">
        <is>
          <t>Marelize Controladoria</t>
        </is>
      </c>
      <c r="M953" s="40" t="inlineStr">
        <is>
          <t>Cumprido</t>
        </is>
      </c>
      <c r="N953" s="62" t="n">
        <v>46062</v>
      </c>
      <c r="O953" s="67" t="inlineStr">
        <is>
          <t xml:space="preserve">Abrir caso de Multa de frete minino solicitado pelo Bruno da recifel na quarta feira 04/02 , catalogwr como transito adm, gerar tarefa para o lucas estudar um mandado de segurança com fundamento na jurisprudência colocada no grupo dotransito </t>
        </is>
      </c>
    </row>
    <row r="954">
      <c r="A954" s="40" t="n"/>
      <c r="B954" s="40" t="inlineStr">
        <is>
          <t>Outras</t>
        </is>
      </c>
      <c r="D954" s="67" t="inlineStr">
        <is>
          <t>Renata Francisco Becker</t>
        </is>
      </c>
      <c r="E954" s="62" t="n">
        <v>45861</v>
      </c>
      <c r="I954" s="67" t="inlineStr"/>
      <c r="J954" s="67" t="inlineStr">
        <is>
          <t>Tarefa</t>
        </is>
      </c>
      <c r="K954" s="62" t="n">
        <v>46062</v>
      </c>
      <c r="L954" s="67" t="inlineStr">
        <is>
          <t>Renata Francisco Becker</t>
        </is>
      </c>
      <c r="M954" s="40" t="inlineStr">
        <is>
          <t>Cumprido</t>
        </is>
      </c>
      <c r="N954" s="62" t="n">
        <v>46062</v>
      </c>
      <c r="O954" s="67" t="inlineStr">
        <is>
          <t xml:space="preserve">Adv Star. </t>
        </is>
      </c>
    </row>
    <row r="955">
      <c r="A955" s="40" t="n"/>
      <c r="B955" s="40" t="inlineStr">
        <is>
          <t>Outras</t>
        </is>
      </c>
      <c r="D955" s="67" t="inlineStr">
        <is>
          <t>Renata Francisco Becker</t>
        </is>
      </c>
      <c r="E955" s="62" t="n">
        <v>45841</v>
      </c>
      <c r="I955" s="67" t="inlineStr">
        <is>
          <t>0001725-11.2025.5.12.0027</t>
        </is>
      </c>
      <c r="J955" s="67" t="inlineStr">
        <is>
          <t>Tarefa</t>
        </is>
      </c>
      <c r="K955" s="62" t="n">
        <v>46062</v>
      </c>
      <c r="L955" s="67" t="inlineStr">
        <is>
          <t>Renata Francisco Becker</t>
        </is>
      </c>
      <c r="M955" s="40" t="inlineStr">
        <is>
          <t>Cumprido</t>
        </is>
      </c>
      <c r="N955" s="62" t="n">
        <v>46062</v>
      </c>
      <c r="O955" s="67" t="inlineStr">
        <is>
          <t>Anotar agenda física.</t>
        </is>
      </c>
    </row>
    <row r="956">
      <c r="A956" s="40" t="inlineStr">
        <is>
          <t>5007824-21.2020.8.24.0020</t>
        </is>
      </c>
      <c r="B956" s="40" t="inlineStr">
        <is>
          <t>Outras</t>
        </is>
      </c>
      <c r="D956" s="67" t="inlineStr">
        <is>
          <t>Renata Francisco Becker</t>
        </is>
      </c>
      <c r="E956" s="62" t="n">
        <v>44701</v>
      </c>
      <c r="F956" s="67" t="inlineStr">
        <is>
          <t>Juizo Da 1ª Vara Civel Da Comarca De Criciuma</t>
        </is>
      </c>
      <c r="I956" s="67" t="inlineStr">
        <is>
          <t>0001725-11.2025.5.12.0027</t>
        </is>
      </c>
      <c r="J956" s="67" t="inlineStr">
        <is>
          <t>Tarefa</t>
        </is>
      </c>
      <c r="K956" s="62" t="n">
        <v>46062</v>
      </c>
      <c r="L956" s="67" t="inlineStr">
        <is>
          <t>Marelize Controladoria</t>
        </is>
      </c>
      <c r="M956" s="40" t="inlineStr">
        <is>
          <t>Cumprido</t>
        </is>
      </c>
      <c r="N956" s="62" t="n">
        <v>46062</v>
      </c>
      <c r="O956" s="67" t="inlineStr">
        <is>
          <t>Avisar cliente da audiencia.</t>
        </is>
      </c>
    </row>
    <row r="957">
      <c r="A957" s="40" t="inlineStr">
        <is>
          <t>5033355-70.2024.8.24.0020</t>
        </is>
      </c>
      <c r="B957" s="40" t="inlineStr">
        <is>
          <t>Outras</t>
        </is>
      </c>
      <c r="D957" s="67" t="inlineStr">
        <is>
          <t>Renata Francisco Becker</t>
        </is>
      </c>
      <c r="E957" s="62" t="n">
        <v>45776</v>
      </c>
      <c r="F957" s="67" t="inlineStr">
        <is>
          <t>4° vara</t>
        </is>
      </c>
      <c r="I957" s="67" t="inlineStr"/>
      <c r="J957" s="67" t="inlineStr">
        <is>
          <t>Tarefa</t>
        </is>
      </c>
      <c r="K957" s="62" t="n">
        <v>46062</v>
      </c>
      <c r="L957" s="67" t="inlineStr">
        <is>
          <t>Pedro Victor</t>
        </is>
      </c>
      <c r="M957" s="40" t="inlineStr">
        <is>
          <t>Cumprido</t>
        </is>
      </c>
      <c r="N957" s="62" t="n">
        <v>46062</v>
      </c>
      <c r="O957" s="67" t="inlineStr">
        <is>
          <t xml:space="preserve">conferencia da peça </t>
        </is>
      </c>
    </row>
    <row r="958">
      <c r="A958" s="40" t="inlineStr">
        <is>
          <t>5007438-30.2021.8.24.0028</t>
        </is>
      </c>
      <c r="B958" s="40" t="inlineStr">
        <is>
          <t>Outras</t>
        </is>
      </c>
      <c r="D958" s="67" t="inlineStr">
        <is>
          <t>Renata Francisco Becker</t>
        </is>
      </c>
      <c r="E958" s="62" t="n">
        <v>45014</v>
      </c>
      <c r="F958" s="67" t="inlineStr">
        <is>
          <t>Juízo da Vara Criminal da Comarca de Içara</t>
        </is>
      </c>
      <c r="I958" s="67" t="inlineStr"/>
      <c r="J958" s="67" t="inlineStr">
        <is>
          <t>Tarefa</t>
        </is>
      </c>
      <c r="K958" s="62" t="n">
        <v>46062</v>
      </c>
      <c r="L958" s="67" t="inlineStr">
        <is>
          <t>Julia</t>
        </is>
      </c>
      <c r="M958" s="40" t="inlineStr">
        <is>
          <t>Cumprido</t>
        </is>
      </c>
      <c r="N958" s="62" t="n">
        <v>46062</v>
      </c>
      <c r="O958" s="67" t="inlineStr">
        <is>
          <t>Finalização</t>
        </is>
      </c>
    </row>
    <row r="959">
      <c r="A959" s="40" t="inlineStr">
        <is>
          <t>5034930-42.2025.8.24.0000</t>
        </is>
      </c>
      <c r="B959" s="40" t="inlineStr">
        <is>
          <t>Outras</t>
        </is>
      </c>
      <c r="D959" s="67" t="inlineStr">
        <is>
          <t>Renata Francisco Becker</t>
        </is>
      </c>
      <c r="E959" s="62" t="n">
        <v>45813</v>
      </c>
      <c r="F959" s="67" t="inlineStr"/>
      <c r="I959" s="67" t="inlineStr">
        <is>
          <t>5000123-81.2025.8.24.0004</t>
        </is>
      </c>
      <c r="J959" s="67" t="inlineStr">
        <is>
          <t>Tarefa</t>
        </is>
      </c>
      <c r="K959" s="62" t="n">
        <v>46062</v>
      </c>
      <c r="L959" s="67" t="inlineStr">
        <is>
          <t>Renata Francisco Becker</t>
        </is>
      </c>
      <c r="M959" s="40" t="inlineStr">
        <is>
          <t>Cumprido</t>
        </is>
      </c>
      <c r="N959" s="62" t="n">
        <v>46062</v>
      </c>
      <c r="O959" s="67" t="inlineStr">
        <is>
          <t>Iniciar execução provisória dos honorários</t>
        </is>
      </c>
    </row>
    <row r="960">
      <c r="A960" s="40" t="inlineStr">
        <is>
          <t>5034933-94.2025.8.24.0000</t>
        </is>
      </c>
      <c r="B960" s="40" t="inlineStr">
        <is>
          <t>Outras</t>
        </is>
      </c>
      <c r="D960" s="67" t="inlineStr">
        <is>
          <t>Renata Francisco Becker</t>
        </is>
      </c>
      <c r="E960" s="62" t="n">
        <v>45813</v>
      </c>
      <c r="F960" s="67" t="inlineStr"/>
      <c r="I960" s="67" t="inlineStr">
        <is>
          <t>4000461-45.2025.8.26.0189</t>
        </is>
      </c>
      <c r="J960" s="67" t="inlineStr">
        <is>
          <t>Tarefa</t>
        </is>
      </c>
      <c r="K960" s="62" t="n">
        <v>46062</v>
      </c>
      <c r="L960" s="67" t="inlineStr">
        <is>
          <t>Julia</t>
        </is>
      </c>
      <c r="M960" s="40" t="inlineStr">
        <is>
          <t>Cumprido</t>
        </is>
      </c>
      <c r="N960" s="62" t="n">
        <v>46062</v>
      </c>
      <c r="O960" s="67" t="inlineStr">
        <is>
          <t>Julia fazer cobrança extrajudical, seguir aquele nosso pop.
Olhar a descrição do caso...</t>
        </is>
      </c>
    </row>
    <row r="961">
      <c r="A961" s="40" t="n"/>
      <c r="B961" s="40" t="inlineStr">
        <is>
          <t>Outras</t>
        </is>
      </c>
      <c r="D961" s="67" t="inlineStr">
        <is>
          <t>Renata Francisco Becker</t>
        </is>
      </c>
      <c r="E961" s="62" t="n">
        <v>45855</v>
      </c>
      <c r="I961" s="67" t="inlineStr"/>
      <c r="J961" s="67" t="inlineStr">
        <is>
          <t>Tarefa</t>
        </is>
      </c>
      <c r="K961" s="62" t="n">
        <v>46062</v>
      </c>
      <c r="L961" s="67" t="inlineStr">
        <is>
          <t>Marelize Controladoria</t>
        </is>
      </c>
      <c r="M961" s="40" t="inlineStr">
        <is>
          <t>Cumprido</t>
        </is>
      </c>
      <c r="N961" s="62" t="n">
        <v>46062</v>
      </c>
      <c r="O961" s="67" t="inlineStr">
        <is>
          <t xml:space="preserve">Lize creiar fluxo de análise de contrato e distribuir </t>
        </is>
      </c>
    </row>
    <row r="962">
      <c r="A962" s="40" t="inlineStr">
        <is>
          <t>5012305-36.2025.4.04.7200</t>
        </is>
      </c>
      <c r="B962" s="40" t="inlineStr">
        <is>
          <t>Outras</t>
        </is>
      </c>
      <c r="D962" s="67" t="inlineStr">
        <is>
          <t>Pedro Victor</t>
        </is>
      </c>
      <c r="E962" s="62" t="n">
        <v>45846</v>
      </c>
      <c r="F962" s="67" t="inlineStr">
        <is>
          <t>3° juizo da unidade regional de execuções fiscais</t>
        </is>
      </c>
      <c r="I962" s="67" t="inlineStr">
        <is>
          <t>0000994-78.2025.5.12.0006</t>
        </is>
      </c>
      <c r="J962" s="67" t="inlineStr">
        <is>
          <t>Tarefa</t>
        </is>
      </c>
      <c r="K962" s="62" t="n">
        <v>46062</v>
      </c>
      <c r="L962" s="67" t="inlineStr">
        <is>
          <t>Luci</t>
        </is>
      </c>
      <c r="M962" s="40" t="inlineStr">
        <is>
          <t>Cumprido</t>
        </is>
      </c>
      <c r="N962" s="62" t="n">
        <v>46062</v>
      </c>
      <c r="O962" s="67" t="inlineStr">
        <is>
          <t>Protocolo</t>
        </is>
      </c>
    </row>
    <row r="963">
      <c r="A963" s="40" t="inlineStr">
        <is>
          <t>TE02221572</t>
        </is>
      </c>
      <c r="B963" s="40" t="inlineStr">
        <is>
          <t>Outras</t>
        </is>
      </c>
      <c r="D963" s="67" t="inlineStr">
        <is>
          <t xml:space="preserve">Lucas </t>
        </is>
      </c>
      <c r="E963" s="62" t="n">
        <v>45729</v>
      </c>
      <c r="F963" s="67" t="inlineStr"/>
      <c r="I963" s="67" t="inlineStr">
        <is>
          <t>5000969-70.2025.8.24.0175</t>
        </is>
      </c>
      <c r="J963" s="67" t="inlineStr">
        <is>
          <t>Tarefa</t>
        </is>
      </c>
      <c r="K963" s="62" t="n">
        <v>46062</v>
      </c>
      <c r="L963" s="67" t="inlineStr">
        <is>
          <t>Jessica</t>
        </is>
      </c>
      <c r="M963" s="40" t="inlineStr">
        <is>
          <t>Cumprido</t>
        </is>
      </c>
      <c r="N963" s="62" t="n">
        <v>46062</v>
      </c>
      <c r="O963" s="67" t="inlineStr">
        <is>
          <t>Protocolo</t>
        </is>
      </c>
    </row>
    <row r="964">
      <c r="A964" s="40" t="inlineStr">
        <is>
          <t>TE02221573</t>
        </is>
      </c>
      <c r="B964" s="40" t="inlineStr">
        <is>
          <t>Outras</t>
        </is>
      </c>
      <c r="D964" s="67" t="inlineStr">
        <is>
          <t xml:space="preserve">Lucas </t>
        </is>
      </c>
      <c r="E964" s="62" t="n">
        <v>45729</v>
      </c>
      <c r="F964" s="67" t="inlineStr"/>
      <c r="I964" s="67" t="inlineStr">
        <is>
          <t>5017830-14.2025.8.24.0020</t>
        </is>
      </c>
      <c r="J964" s="67" t="inlineStr">
        <is>
          <t>Tarefa</t>
        </is>
      </c>
      <c r="K964" s="62" t="n">
        <v>46062</v>
      </c>
      <c r="L964" s="67" t="inlineStr">
        <is>
          <t>Julia</t>
        </is>
      </c>
      <c r="M964" s="40" t="inlineStr">
        <is>
          <t>Cumprido</t>
        </is>
      </c>
      <c r="N964" s="62" t="n">
        <v>46062</v>
      </c>
      <c r="O964" s="67" t="inlineStr">
        <is>
          <t>Protocolo</t>
        </is>
      </c>
    </row>
    <row r="965">
      <c r="A965" s="40" t="inlineStr">
        <is>
          <t>TE02221569</t>
        </is>
      </c>
      <c r="B965" s="40" t="inlineStr">
        <is>
          <t>Outras</t>
        </is>
      </c>
      <c r="D965" s="67" t="inlineStr">
        <is>
          <t xml:space="preserve">Lucas </t>
        </is>
      </c>
      <c r="E965" s="62" t="n">
        <v>45729</v>
      </c>
      <c r="F965" s="67" t="inlineStr"/>
      <c r="I965" s="67" t="inlineStr">
        <is>
          <t>5031729-60.2025.4.03.0000</t>
        </is>
      </c>
      <c r="J965" s="67" t="inlineStr">
        <is>
          <t>Tarefa</t>
        </is>
      </c>
      <c r="K965" s="62" t="n">
        <v>46062</v>
      </c>
      <c r="L965" s="67" t="inlineStr">
        <is>
          <t>Jessica</t>
        </is>
      </c>
      <c r="M965" s="40" t="inlineStr">
        <is>
          <t>Cumprido</t>
        </is>
      </c>
      <c r="N965" s="62" t="n">
        <v>46062</v>
      </c>
      <c r="O965" s="67" t="inlineStr">
        <is>
          <t>Protocolo da Sustentação Oral</t>
        </is>
      </c>
    </row>
    <row r="966">
      <c r="A966" s="40" t="inlineStr">
        <is>
          <t>TE02221571</t>
        </is>
      </c>
      <c r="B966" s="40" t="inlineStr">
        <is>
          <t>Outras</t>
        </is>
      </c>
      <c r="D966" s="67" t="inlineStr">
        <is>
          <t xml:space="preserve">Lucas </t>
        </is>
      </c>
      <c r="E966" s="62" t="n">
        <v>45729</v>
      </c>
      <c r="F966" s="67" t="inlineStr"/>
      <c r="I966" s="67" t="inlineStr"/>
      <c r="J966" s="67" t="inlineStr">
        <is>
          <t>Tarefa</t>
        </is>
      </c>
      <c r="K966" s="62" t="n">
        <v>46062</v>
      </c>
      <c r="L966" s="67" t="inlineStr">
        <is>
          <t>Renata Francisco Becker</t>
        </is>
      </c>
      <c r="M966" s="40" t="inlineStr">
        <is>
          <t>Cumprido</t>
        </is>
      </c>
      <c r="N966" s="62" t="n">
        <v>46062</v>
      </c>
      <c r="O966" s="67" t="inlineStr">
        <is>
          <t xml:space="preserve">Revisão </t>
        </is>
      </c>
    </row>
    <row r="967">
      <c r="A967" s="40" t="inlineStr">
        <is>
          <t>TE02221570</t>
        </is>
      </c>
      <c r="B967" s="40" t="inlineStr">
        <is>
          <t>Outras</t>
        </is>
      </c>
      <c r="D967" s="67" t="inlineStr">
        <is>
          <t xml:space="preserve">Lucas </t>
        </is>
      </c>
      <c r="E967" s="62" t="n">
        <v>45729</v>
      </c>
      <c r="F967" s="67" t="inlineStr"/>
      <c r="I967" s="67" t="inlineStr"/>
      <c r="J967" s="67" t="inlineStr">
        <is>
          <t>Tarefa</t>
        </is>
      </c>
      <c r="K967" s="62" t="n">
        <v>46062</v>
      </c>
      <c r="L967" s="67" t="inlineStr">
        <is>
          <t>Renata Francisco Becker</t>
        </is>
      </c>
      <c r="M967" s="40" t="inlineStr">
        <is>
          <t>Cumprido</t>
        </is>
      </c>
      <c r="N967" s="62" t="n">
        <v>46062</v>
      </c>
      <c r="O967" s="67" t="inlineStr">
        <is>
          <t xml:space="preserve">Revisão </t>
        </is>
      </c>
    </row>
    <row r="968">
      <c r="A968" s="40" t="inlineStr">
        <is>
          <t>TE02221572</t>
        </is>
      </c>
      <c r="B968" s="40" t="inlineStr">
        <is>
          <t>Outras</t>
        </is>
      </c>
      <c r="D968" s="67" t="inlineStr">
        <is>
          <t xml:space="preserve">Lucas </t>
        </is>
      </c>
      <c r="E968" s="62" t="n">
        <v>45729</v>
      </c>
      <c r="F968" s="67" t="inlineStr"/>
      <c r="I968" s="67" t="inlineStr">
        <is>
          <t>5063316-82.2025.8.24.0000</t>
        </is>
      </c>
      <c r="J968" s="67" t="inlineStr">
        <is>
          <t>Tarefa</t>
        </is>
      </c>
      <c r="K968" s="62" t="n">
        <v>46062</v>
      </c>
      <c r="L968" s="67" t="inlineStr">
        <is>
          <t>Pedro Victor</t>
        </is>
      </c>
      <c r="M968" s="40" t="inlineStr">
        <is>
          <t>Cumprido</t>
        </is>
      </c>
      <c r="N968" s="62" t="n">
        <v>46062</v>
      </c>
      <c r="O968" s="67" t="inlineStr">
        <is>
          <t>Revisão</t>
        </is>
      </c>
    </row>
    <row r="969">
      <c r="A969" s="40" t="inlineStr">
        <is>
          <t>0301654-70.2017.8.24.0078</t>
        </is>
      </c>
      <c r="B969" s="40" t="inlineStr">
        <is>
          <t>Outras</t>
        </is>
      </c>
      <c r="D969" s="67" t="inlineStr">
        <is>
          <t>Renata Francisco Becker</t>
        </is>
      </c>
      <c r="E969" s="62" t="n">
        <v>45117</v>
      </c>
      <c r="F969" s="67" t="inlineStr">
        <is>
          <t>Juízo da 2ª Vara da Comarca de Urussanga</t>
        </is>
      </c>
      <c r="I969" s="67" t="inlineStr"/>
      <c r="J969" s="67" t="inlineStr">
        <is>
          <t>Tarefa</t>
        </is>
      </c>
      <c r="K969" s="62" t="n">
        <v>46062</v>
      </c>
      <c r="L969" s="67" t="inlineStr">
        <is>
          <t>Marelize Controladoria</t>
        </is>
      </c>
      <c r="M969" s="40" t="inlineStr">
        <is>
          <t>Cumprido</t>
        </is>
      </c>
      <c r="N969" s="62" t="n">
        <v>46062</v>
      </c>
      <c r="O969" s="67" t="inlineStr">
        <is>
          <t>Verificar 3 etapa auditorias</t>
        </is>
      </c>
    </row>
    <row r="970">
      <c r="A970" s="40" t="inlineStr">
        <is>
          <t>0000334-26.2022.5.12.0027</t>
        </is>
      </c>
      <c r="B970" s="40" t="inlineStr">
        <is>
          <t>Outras</t>
        </is>
      </c>
      <c r="D970" s="67" t="inlineStr">
        <is>
          <t>Renata Francisco Becker</t>
        </is>
      </c>
      <c r="E970" s="62" t="n">
        <v>44715</v>
      </c>
      <c r="F970" s="67" t="inlineStr">
        <is>
          <t>2ª VARA DO TRABALHO DE CRICIÚMA</t>
        </is>
      </c>
      <c r="I970" s="67" t="inlineStr"/>
      <c r="J970" s="67" t="inlineStr">
        <is>
          <t>Evento</t>
        </is>
      </c>
      <c r="K970" s="62" t="n">
        <v>46062</v>
      </c>
      <c r="L970" s="67" t="inlineStr">
        <is>
          <t>Marelize Controladoria</t>
        </is>
      </c>
      <c r="M970" s="40" t="inlineStr">
        <is>
          <t>Cumprido</t>
        </is>
      </c>
      <c r="N970" s="62" t="n">
        <v>46062</v>
      </c>
      <c r="O970" s="67" t="inlineStr">
        <is>
          <t>Prorrogação beneficio rafael</t>
        </is>
      </c>
    </row>
    <row r="971">
      <c r="A971" s="40" t="n"/>
      <c r="B971" s="40" t="inlineStr">
        <is>
          <t>Outras</t>
        </is>
      </c>
      <c r="D971" s="67" t="inlineStr">
        <is>
          <t>Pedro Victor</t>
        </is>
      </c>
      <c r="E971" s="62" t="n">
        <v>45789</v>
      </c>
      <c r="I971" s="67" t="inlineStr"/>
      <c r="J971" s="67" t="inlineStr">
        <is>
          <t>Evento</t>
        </is>
      </c>
      <c r="K971" s="62" t="n">
        <v>46062</v>
      </c>
      <c r="L971" s="67" t="inlineStr">
        <is>
          <t>Renata Francisco Becker</t>
        </is>
      </c>
      <c r="M971" s="40" t="inlineStr">
        <is>
          <t>Cumprido</t>
        </is>
      </c>
      <c r="N971" s="62" t="n">
        <v>46062</v>
      </c>
      <c r="O971" s="67" t="inlineStr">
        <is>
          <t>09/02/2026 - Reunião de Equipe</t>
        </is>
      </c>
    </row>
    <row r="972">
      <c r="A972" s="40" t="inlineStr">
        <is>
          <t>5000002-02.2003.8.24.0044</t>
        </is>
      </c>
      <c r="B972" s="40" t="inlineStr">
        <is>
          <t>Outras</t>
        </is>
      </c>
      <c r="D972" s="67" t="inlineStr">
        <is>
          <t>Renata Francisco Becker</t>
        </is>
      </c>
      <c r="E972" s="62" t="n">
        <v>45849</v>
      </c>
      <c r="F972" s="67" t="inlineStr"/>
      <c r="I972" s="67" t="inlineStr"/>
      <c r="J972" s="67" t="inlineStr">
        <is>
          <t>Evento</t>
        </is>
      </c>
      <c r="K972" s="62" t="n">
        <v>46062</v>
      </c>
      <c r="L972" s="67" t="inlineStr">
        <is>
          <t>Renata Francisco Becker</t>
        </is>
      </c>
      <c r="M972" s="40" t="inlineStr">
        <is>
          <t>Cumprido</t>
        </is>
      </c>
      <c r="N972" s="62" t="n">
        <v>46062</v>
      </c>
      <c r="O972" s="67" t="inlineStr">
        <is>
          <t>Atendimento escritório com Zelma</t>
        </is>
      </c>
    </row>
    <row r="973">
      <c r="A973" s="40" t="n"/>
      <c r="B973" s="40" t="inlineStr">
        <is>
          <t>Outras</t>
        </is>
      </c>
      <c r="D973" s="67" t="inlineStr">
        <is>
          <t>Renata Francisco Becker</t>
        </is>
      </c>
      <c r="E973" s="62" t="n">
        <v>45849</v>
      </c>
      <c r="I973" s="67" t="inlineStr">
        <is>
          <t>0001610-62.2025.5.12.0003</t>
        </is>
      </c>
      <c r="J973" s="67" t="inlineStr">
        <is>
          <t>Audiência</t>
        </is>
      </c>
      <c r="K973" s="62" t="n">
        <v>46062</v>
      </c>
      <c r="L973" s="67" t="inlineStr">
        <is>
          <t>Luci</t>
        </is>
      </c>
      <c r="M973" s="40" t="inlineStr">
        <is>
          <t>Cumprido</t>
        </is>
      </c>
      <c r="N973" s="62" t="n">
        <v>46062</v>
      </c>
      <c r="O973" s="67" t="inlineStr">
        <is>
          <t>Aud. Homologação do Acordo FF PNEUMATICOS EIRELI - ME x RAIKAR JOHN ROCHA</t>
        </is>
      </c>
    </row>
    <row r="974">
      <c r="A974" s="40" t="n"/>
      <c r="B974" s="40" t="inlineStr">
        <is>
          <t>Outras</t>
        </is>
      </c>
      <c r="D974" s="67" t="inlineStr">
        <is>
          <t>Pedro Victor</t>
        </is>
      </c>
      <c r="E974" s="62" t="n">
        <v>45793</v>
      </c>
      <c r="I974" s="67" t="inlineStr">
        <is>
          <t>50178045020248240020</t>
        </is>
      </c>
      <c r="J974" s="67" t="inlineStr">
        <is>
          <t>Audiência</t>
        </is>
      </c>
      <c r="K974" s="62" t="n">
        <v>46062</v>
      </c>
      <c r="L974" s="67" t="inlineStr">
        <is>
          <t>Renata Francisco Becker</t>
        </is>
      </c>
      <c r="M974" s="40" t="inlineStr">
        <is>
          <t>Cumprido</t>
        </is>
      </c>
      <c r="N974" s="62" t="n">
        <v>46062</v>
      </c>
      <c r="O974" s="67" t="inlineStr">
        <is>
          <t>AUDIENCIA DE INSTRUÇÃO - MARLON SILVEIRA SAVIATO X VIP CAR VEICULOS LTDA</t>
        </is>
      </c>
    </row>
    <row r="975">
      <c r="A975" s="40" t="n"/>
      <c r="B975" s="40" t="inlineStr">
        <is>
          <t>Outras</t>
        </is>
      </c>
      <c r="D975" s="67" t="inlineStr">
        <is>
          <t>Renata Francisco Becker</t>
        </is>
      </c>
      <c r="E975" s="62" t="n">
        <v>45847</v>
      </c>
      <c r="I975" s="67" t="inlineStr"/>
      <c r="J975" s="67" t="inlineStr">
        <is>
          <t>Evento</t>
        </is>
      </c>
      <c r="K975" s="62" t="n">
        <v>46062</v>
      </c>
      <c r="L975" s="67" t="inlineStr">
        <is>
          <t>Pedro Victor</t>
        </is>
      </c>
      <c r="M975" s="40" t="inlineStr">
        <is>
          <t>Cumprido</t>
        </is>
      </c>
      <c r="N975" s="62" t="n">
        <v>46062</v>
      </c>
      <c r="O975" s="67" t="inlineStr">
        <is>
          <t xml:space="preserve">reunião Crippa </t>
        </is>
      </c>
    </row>
    <row r="976">
      <c r="A976" s="40" t="n"/>
      <c r="B976" s="40" t="inlineStr">
        <is>
          <t>Outras</t>
        </is>
      </c>
      <c r="D976" s="67" t="inlineStr">
        <is>
          <t>Pedro Victor</t>
        </is>
      </c>
      <c r="E976" s="62" t="n">
        <v>45847</v>
      </c>
      <c r="I976" s="67" t="inlineStr"/>
      <c r="J976" s="67" t="inlineStr">
        <is>
          <t>Prazo</t>
        </is>
      </c>
      <c r="K976" s="62" t="n">
        <v>46063</v>
      </c>
      <c r="L976" s="67" t="inlineStr">
        <is>
          <t>Julia</t>
        </is>
      </c>
      <c r="M976" s="40" t="inlineStr">
        <is>
          <t>Cumprido</t>
        </is>
      </c>
      <c r="N976" s="62" t="n">
        <v>46063</v>
      </c>
      <c r="O976" s="67" t="inlineStr">
        <is>
          <t>Alterações nos Contratos Granda Engenharia</t>
        </is>
      </c>
    </row>
    <row r="977">
      <c r="A977" s="40" t="n"/>
      <c r="B977" s="40" t="inlineStr">
        <is>
          <t>Outras</t>
        </is>
      </c>
      <c r="D977" s="67" t="inlineStr">
        <is>
          <t>Luci</t>
        </is>
      </c>
      <c r="E977" s="62" t="n">
        <v>45722</v>
      </c>
      <c r="I977" s="67" t="inlineStr"/>
      <c r="J977" s="67" t="inlineStr">
        <is>
          <t>Prazo</t>
        </is>
      </c>
      <c r="K977" s="62" t="n">
        <v>46063</v>
      </c>
      <c r="L977" s="67" t="inlineStr">
        <is>
          <t>Julia</t>
        </is>
      </c>
      <c r="M977" s="40" t="inlineStr">
        <is>
          <t>Cumprido</t>
        </is>
      </c>
      <c r="N977" s="62" t="n">
        <v>46063</v>
      </c>
      <c r="O977" s="67" t="inlineStr">
        <is>
          <t>Analise de cabimento de nova clausula (Contrato Nilza)</t>
        </is>
      </c>
    </row>
    <row r="978">
      <c r="A978" s="40" t="inlineStr">
        <is>
          <t>00100555920155120055</t>
        </is>
      </c>
      <c r="B978" s="40" t="inlineStr">
        <is>
          <t>Outras</t>
        </is>
      </c>
      <c r="D978" s="67" t="inlineStr">
        <is>
          <t>Pedro Victor</t>
        </is>
      </c>
      <c r="E978" s="62" t="n">
        <v>45146</v>
      </c>
      <c r="F978" s="67" t="inlineStr">
        <is>
          <t>3ª VARA DO TRABALHO DE CRICIÚMA</t>
        </is>
      </c>
      <c r="I978" s="67" t="inlineStr"/>
      <c r="J978" s="67" t="inlineStr">
        <is>
          <t>Prazo</t>
        </is>
      </c>
      <c r="K978" s="62" t="n">
        <v>46063</v>
      </c>
      <c r="L978" s="67" t="inlineStr">
        <is>
          <t>Julia</t>
        </is>
      </c>
      <c r="M978" s="40" t="inlineStr">
        <is>
          <t>Cumprido</t>
        </is>
      </c>
      <c r="N978" s="62" t="n">
        <v>46063</v>
      </c>
      <c r="O978" s="67" t="inlineStr">
        <is>
          <t>Analise de contrato para autorização de comercialização de produto Vonsher</t>
        </is>
      </c>
    </row>
    <row r="979">
      <c r="A979" s="40" t="inlineStr">
        <is>
          <t>5000347-44.2025.8.24.0028</t>
        </is>
      </c>
      <c r="B979" s="40" t="inlineStr">
        <is>
          <t>Outras</t>
        </is>
      </c>
      <c r="D979" s="67" t="inlineStr">
        <is>
          <t>Renata Francisco Becker</t>
        </is>
      </c>
      <c r="E979" s="62" t="n">
        <v>45754</v>
      </c>
      <c r="F979" s="67" t="inlineStr"/>
      <c r="I979" s="67" t="inlineStr">
        <is>
          <t>5023102-23.2024.8.24.0020</t>
        </is>
      </c>
      <c r="J979" s="67" t="inlineStr">
        <is>
          <t>Prazo</t>
        </is>
      </c>
      <c r="K979" s="62" t="n">
        <v>46063</v>
      </c>
      <c r="L979" s="67" t="inlineStr">
        <is>
          <t xml:space="preserve">Alexia </t>
        </is>
      </c>
      <c r="M979" s="40" t="inlineStr">
        <is>
          <t>Cumprido</t>
        </is>
      </c>
      <c r="N979" s="62" t="n">
        <v>46063</v>
      </c>
      <c r="O979" s="67" t="inlineStr">
        <is>
          <t>Ciencia do despacho</t>
        </is>
      </c>
    </row>
    <row r="980">
      <c r="A980" s="40" t="inlineStr">
        <is>
          <t>5000138-20.2023.8.24.0166</t>
        </is>
      </c>
      <c r="B980" s="40" t="inlineStr">
        <is>
          <t>Outras</t>
        </is>
      </c>
      <c r="D980" s="67" t="inlineStr">
        <is>
          <t>Pedro Victor</t>
        </is>
      </c>
      <c r="E980" s="62" t="n">
        <v>45338</v>
      </c>
      <c r="F980" s="67" t="inlineStr">
        <is>
          <t>Juízo da Vara Única da Comarca de Forquilhinha</t>
        </is>
      </c>
      <c r="I980" s="67" t="inlineStr">
        <is>
          <t>5032306-91.2024.8.24.0020</t>
        </is>
      </c>
      <c r="J980" s="67" t="inlineStr">
        <is>
          <t>Prazo</t>
        </is>
      </c>
      <c r="K980" s="62" t="n">
        <v>46063</v>
      </c>
      <c r="L980" s="67" t="inlineStr">
        <is>
          <t xml:space="preserve">Alexia </t>
        </is>
      </c>
      <c r="M980" s="40" t="inlineStr">
        <is>
          <t>Cumprido</t>
        </is>
      </c>
      <c r="N980" s="62" t="n">
        <v>46063</v>
      </c>
      <c r="O980" s="67" t="inlineStr">
        <is>
          <t>Ciencia do Despacho</t>
        </is>
      </c>
    </row>
    <row r="981">
      <c r="A981" s="40" t="inlineStr">
        <is>
          <t>5003677-49.2025.8.24.0028</t>
        </is>
      </c>
      <c r="B981" s="40" t="inlineStr">
        <is>
          <t>Outras</t>
        </is>
      </c>
      <c r="D981" s="67" t="inlineStr">
        <is>
          <t>Renata Francisco Becker</t>
        </is>
      </c>
      <c r="E981" s="62" t="n">
        <v>45842</v>
      </c>
      <c r="F981" s="67" t="inlineStr"/>
      <c r="I981" s="67" t="inlineStr">
        <is>
          <t>5012518-57.2025.8.24.0020</t>
        </is>
      </c>
      <c r="J981" s="67" t="inlineStr">
        <is>
          <t>Prazo</t>
        </is>
      </c>
      <c r="K981" s="62" t="n">
        <v>46063</v>
      </c>
      <c r="L981" s="67" t="inlineStr">
        <is>
          <t xml:space="preserve">Alexia </t>
        </is>
      </c>
      <c r="M981" s="40" t="inlineStr">
        <is>
          <t>Cumprido</t>
        </is>
      </c>
      <c r="N981" s="62" t="n">
        <v>46063</v>
      </c>
      <c r="O981" s="67" t="inlineStr">
        <is>
          <t>Embargos de Declaração</t>
        </is>
      </c>
    </row>
    <row r="982">
      <c r="A982" s="40" t="inlineStr">
        <is>
          <t>704383</t>
        </is>
      </c>
      <c r="B982" s="40" t="inlineStr">
        <is>
          <t>Outras</t>
        </is>
      </c>
      <c r="D982" s="67" t="inlineStr">
        <is>
          <t>Pedro Victor</t>
        </is>
      </c>
      <c r="E982" s="62" t="n">
        <v>45737</v>
      </c>
      <c r="F982" s="67" t="inlineStr"/>
      <c r="I982" s="67" t="inlineStr">
        <is>
          <t>5011355-42.2025.8.24.0020</t>
        </is>
      </c>
      <c r="J982" s="67" t="inlineStr">
        <is>
          <t>Prazo</t>
        </is>
      </c>
      <c r="K982" s="62" t="n">
        <v>46063</v>
      </c>
      <c r="L982" s="67" t="inlineStr">
        <is>
          <t xml:space="preserve">Alexia </t>
        </is>
      </c>
      <c r="M982" s="40" t="inlineStr">
        <is>
          <t>Cumprido</t>
        </is>
      </c>
      <c r="N982" s="62" t="n">
        <v>46063</v>
      </c>
      <c r="O982" s="67" t="inlineStr">
        <is>
          <t>Embargos de Declaração</t>
        </is>
      </c>
    </row>
    <row r="983">
      <c r="A983" s="40" t="inlineStr">
        <is>
          <t>0000078-78.2025.5.12.0027</t>
        </is>
      </c>
      <c r="B983" s="40" t="inlineStr">
        <is>
          <t>Outras</t>
        </is>
      </c>
      <c r="D983" s="67" t="inlineStr">
        <is>
          <t>Luci</t>
        </is>
      </c>
      <c r="E983" s="62" t="n">
        <v>45758</v>
      </c>
      <c r="F983" s="67" t="inlineStr"/>
      <c r="I983" s="67" t="inlineStr"/>
      <c r="J983" s="67" t="inlineStr">
        <is>
          <t>Prazo</t>
        </is>
      </c>
      <c r="K983" s="62" t="n">
        <v>46063</v>
      </c>
      <c r="L983" s="67" t="inlineStr">
        <is>
          <t>Luci</t>
        </is>
      </c>
      <c r="M983" s="40" t="inlineStr">
        <is>
          <t>Cumprido</t>
        </is>
      </c>
      <c r="N983" s="62" t="n">
        <v>46063</v>
      </c>
      <c r="O983" s="67" t="inlineStr">
        <is>
          <t>MMC - CONTRATAÇÃO DE DIARISTAS</t>
        </is>
      </c>
    </row>
    <row r="984">
      <c r="A984" s="40" t="n"/>
      <c r="B984" s="40" t="inlineStr">
        <is>
          <t>Outras</t>
        </is>
      </c>
      <c r="D984" s="67" t="inlineStr">
        <is>
          <t>Renata Francisco Becker</t>
        </is>
      </c>
      <c r="E984" s="62" t="n">
        <v>45842</v>
      </c>
      <c r="I984" s="67" t="inlineStr"/>
      <c r="J984" s="67" t="inlineStr">
        <is>
          <t>Prazo</t>
        </is>
      </c>
      <c r="K984" s="62" t="n">
        <v>46063</v>
      </c>
      <c r="L984" s="67" t="inlineStr">
        <is>
          <t>Luci</t>
        </is>
      </c>
      <c r="M984" s="40" t="inlineStr">
        <is>
          <t>Cumprido</t>
        </is>
      </c>
      <c r="N984" s="62" t="n">
        <v>46063</v>
      </c>
      <c r="O984" s="67" t="inlineStr">
        <is>
          <t>Petição Inicial</t>
        </is>
      </c>
    </row>
    <row r="985">
      <c r="A985" s="40" t="inlineStr">
        <is>
          <t>50335767320238240930</t>
        </is>
      </c>
      <c r="B985" s="40" t="inlineStr">
        <is>
          <t>Outras</t>
        </is>
      </c>
      <c r="D985" s="67" t="inlineStr">
        <is>
          <t>Renata Francisco Becker</t>
        </is>
      </c>
      <c r="E985" s="62" t="n">
        <v>45194</v>
      </c>
      <c r="F985" s="67" t="inlineStr"/>
      <c r="I985" s="67" t="inlineStr">
        <is>
          <t>0032799-54.2024.8.19.0001</t>
        </is>
      </c>
      <c r="J985" s="67" t="inlineStr">
        <is>
          <t>Prazo</t>
        </is>
      </c>
      <c r="K985" s="62" t="n">
        <v>46063</v>
      </c>
      <c r="L985" s="67" t="inlineStr">
        <is>
          <t xml:space="preserve">Alexia </t>
        </is>
      </c>
      <c r="M985" s="40" t="inlineStr">
        <is>
          <t>Cumprido</t>
        </is>
      </c>
      <c r="N985" s="62" t="n">
        <v>46063</v>
      </c>
      <c r="O985" s="67" t="inlineStr">
        <is>
          <t>Prazo</t>
        </is>
      </c>
    </row>
    <row r="986">
      <c r="A986" s="40" t="n"/>
      <c r="B986" s="40" t="inlineStr">
        <is>
          <t>Outras</t>
        </is>
      </c>
      <c r="D986" s="67" t="inlineStr">
        <is>
          <t xml:space="preserve">Lucas </t>
        </is>
      </c>
      <c r="E986" s="62" t="n">
        <v>45832</v>
      </c>
      <c r="I986" s="67" t="inlineStr">
        <is>
          <t>5000882-44.2025.8.24.0069</t>
        </is>
      </c>
      <c r="J986" s="67" t="inlineStr">
        <is>
          <t>Prazo</t>
        </is>
      </c>
      <c r="K986" s="62" t="n">
        <v>46063</v>
      </c>
      <c r="L986" s="67" t="inlineStr">
        <is>
          <t xml:space="preserve">Alexia </t>
        </is>
      </c>
      <c r="M986" s="40" t="inlineStr">
        <is>
          <t>Cumprido</t>
        </is>
      </c>
      <c r="N986" s="62" t="n">
        <v>46063</v>
      </c>
      <c r="O986" s="67" t="inlineStr">
        <is>
          <t>Prazo</t>
        </is>
      </c>
    </row>
    <row r="987">
      <c r="A987" s="40" t="n"/>
      <c r="B987" s="40" t="inlineStr">
        <is>
          <t>Outras</t>
        </is>
      </c>
      <c r="D987" s="67" t="inlineStr">
        <is>
          <t>Luci</t>
        </is>
      </c>
      <c r="E987" s="62" t="n">
        <v>45734</v>
      </c>
      <c r="I987" s="67" t="inlineStr">
        <is>
          <t>5025714-65.2023.8.24.0020</t>
        </is>
      </c>
      <c r="J987" s="67" t="inlineStr">
        <is>
          <t>Prazo</t>
        </is>
      </c>
      <c r="K987" s="62" t="n">
        <v>46063</v>
      </c>
      <c r="L987" s="67" t="inlineStr">
        <is>
          <t>Renata Francisco Becker</t>
        </is>
      </c>
      <c r="M987" s="40" t="inlineStr">
        <is>
          <t>Cumprido</t>
        </is>
      </c>
      <c r="N987" s="62" t="n">
        <v>46063</v>
      </c>
      <c r="O987" s="67" t="inlineStr">
        <is>
          <t>Prazo</t>
        </is>
      </c>
    </row>
    <row r="988">
      <c r="A988" s="40" t="n"/>
      <c r="B988" s="40" t="inlineStr">
        <is>
          <t>Outras</t>
        </is>
      </c>
      <c r="D988" s="67" t="inlineStr">
        <is>
          <t>Renata Francisco Becker</t>
        </is>
      </c>
      <c r="E988" s="62" t="n">
        <v>45840</v>
      </c>
      <c r="I988" s="67" t="inlineStr">
        <is>
          <t>03031132420168240020</t>
        </is>
      </c>
      <c r="J988" s="67" t="inlineStr">
        <is>
          <t>Prazo</t>
        </is>
      </c>
      <c r="K988" s="62" t="n">
        <v>46063</v>
      </c>
      <c r="L988" s="67" t="inlineStr">
        <is>
          <t xml:space="preserve">Alexia </t>
        </is>
      </c>
      <c r="M988" s="40" t="inlineStr">
        <is>
          <t>Cumprido</t>
        </is>
      </c>
      <c r="N988" s="62" t="n">
        <v>46063</v>
      </c>
      <c r="O988" s="67" t="inlineStr">
        <is>
          <t>Prazo</t>
        </is>
      </c>
    </row>
    <row r="989">
      <c r="A989" s="40" t="inlineStr">
        <is>
          <t>5005929-85.2025.8.24.0008</t>
        </is>
      </c>
      <c r="B989" s="40" t="inlineStr">
        <is>
          <t>Outras</t>
        </is>
      </c>
      <c r="D989" s="67" t="inlineStr">
        <is>
          <t>Renata Francisco Becker</t>
        </is>
      </c>
      <c r="E989" s="62" t="n">
        <v>45715</v>
      </c>
      <c r="F989" s="67" t="inlineStr">
        <is>
          <t>juizado especial civel</t>
        </is>
      </c>
      <c r="I989" s="67" t="inlineStr">
        <is>
          <t>5010661-22.2020.4.04.7204</t>
        </is>
      </c>
      <c r="J989" s="67" t="inlineStr">
        <is>
          <t>Prazo</t>
        </is>
      </c>
      <c r="K989" s="62" t="n">
        <v>46063</v>
      </c>
      <c r="L989" s="67" t="inlineStr">
        <is>
          <t xml:space="preserve">Alexia </t>
        </is>
      </c>
      <c r="M989" s="40" t="inlineStr">
        <is>
          <t>Cumprido</t>
        </is>
      </c>
      <c r="N989" s="62" t="n">
        <v>46063</v>
      </c>
      <c r="O989" s="67" t="inlineStr">
        <is>
          <t>Prazo ciencia</t>
        </is>
      </c>
    </row>
    <row r="990">
      <c r="A990" s="40" t="inlineStr">
        <is>
          <t>0300812-46.2017.8.24.0028</t>
        </is>
      </c>
      <c r="B990" s="40" t="inlineStr">
        <is>
          <t>Outras</t>
        </is>
      </c>
      <c r="D990" s="67" t="inlineStr">
        <is>
          <t>Renata Francisco Becker</t>
        </is>
      </c>
      <c r="E990" s="62" t="n">
        <v>45415</v>
      </c>
      <c r="F990" s="67" t="inlineStr">
        <is>
          <t>Juízo da 2ª Vara Cível da Comarca de Içara</t>
        </is>
      </c>
      <c r="I990" s="67" t="inlineStr">
        <is>
          <t>0000223-37.2025.5.12.0027</t>
        </is>
      </c>
      <c r="J990" s="67" t="inlineStr">
        <is>
          <t>Prazo</t>
        </is>
      </c>
      <c r="K990" s="62" t="n">
        <v>46063</v>
      </c>
      <c r="L990" s="67" t="inlineStr">
        <is>
          <t>Luci</t>
        </is>
      </c>
      <c r="M990" s="40" t="inlineStr">
        <is>
          <t>Cumprido</t>
        </is>
      </c>
      <c r="N990" s="62" t="n">
        <v>46063</v>
      </c>
      <c r="O990" s="67" t="inlineStr">
        <is>
          <t>Prazo custas</t>
        </is>
      </c>
    </row>
    <row r="991">
      <c r="A991" s="40" t="inlineStr">
        <is>
          <t>5015876-59.2024.8.24.0054</t>
        </is>
      </c>
      <c r="B991" s="40" t="inlineStr">
        <is>
          <t>Outras</t>
        </is>
      </c>
      <c r="D991" s="67" t="inlineStr">
        <is>
          <t>Renata Francisco Becker</t>
        </is>
      </c>
      <c r="E991" s="62" t="n">
        <v>45723</v>
      </c>
      <c r="F991" s="67" t="inlineStr">
        <is>
          <t>Juizado Especial Cível e Criminal</t>
        </is>
      </c>
      <c r="I991" s="67" t="inlineStr">
        <is>
          <t>0001478-43.2025.5.12.0055</t>
        </is>
      </c>
      <c r="J991" s="67" t="inlineStr">
        <is>
          <t>Prazo</t>
        </is>
      </c>
      <c r="K991" s="62" t="n">
        <v>46063</v>
      </c>
      <c r="L991" s="67" t="inlineStr">
        <is>
          <t>Luci</t>
        </is>
      </c>
      <c r="M991" s="40" t="inlineStr">
        <is>
          <t>Cumprido</t>
        </is>
      </c>
      <c r="N991" s="62" t="n">
        <v>46063</v>
      </c>
      <c r="O991" s="67" t="inlineStr">
        <is>
          <t>Prazo Manifestação</t>
        </is>
      </c>
    </row>
    <row r="992">
      <c r="A992" s="40" t="inlineStr">
        <is>
          <t>50040545120244047204</t>
        </is>
      </c>
      <c r="B992" s="40" t="inlineStr">
        <is>
          <t>Outras</t>
        </is>
      </c>
      <c r="D992" s="67" t="inlineStr">
        <is>
          <t>Renata Francisco Becker</t>
        </is>
      </c>
      <c r="E992" s="62" t="n">
        <v>45554</v>
      </c>
      <c r="F992" s="67" t="inlineStr">
        <is>
          <t>Juízo Federal da 1ª VF de Criciúma</t>
        </is>
      </c>
      <c r="I992" s="67" t="inlineStr">
        <is>
          <t>0010142-48.2025.5.15.0033</t>
        </is>
      </c>
      <c r="J992" s="67" t="inlineStr">
        <is>
          <t>Prazo</t>
        </is>
      </c>
      <c r="K992" s="62" t="n">
        <v>46063</v>
      </c>
      <c r="L992" s="67" t="inlineStr">
        <is>
          <t>Luci</t>
        </is>
      </c>
      <c r="M992" s="40" t="inlineStr">
        <is>
          <t>Cumprido</t>
        </is>
      </c>
      <c r="N992" s="62" t="n">
        <v>46063</v>
      </c>
      <c r="O992" s="67" t="inlineStr">
        <is>
          <t>prazo manifestação laudo até 17/03/2026</t>
        </is>
      </c>
    </row>
    <row r="993">
      <c r="A993" s="40" t="n"/>
      <c r="B993" s="40" t="inlineStr">
        <is>
          <t>Outras</t>
        </is>
      </c>
      <c r="D993" s="67" t="inlineStr">
        <is>
          <t>Pedro Victor</t>
        </is>
      </c>
      <c r="E993" s="62" t="n">
        <v>45359</v>
      </c>
      <c r="I993" s="67" t="inlineStr">
        <is>
          <t>0010142-48.2025.5.15.0033</t>
        </is>
      </c>
      <c r="J993" s="67" t="inlineStr">
        <is>
          <t>Prazo</t>
        </is>
      </c>
      <c r="K993" s="62" t="n">
        <v>46063</v>
      </c>
      <c r="L993" s="67" t="inlineStr">
        <is>
          <t>Luci</t>
        </is>
      </c>
      <c r="M993" s="40" t="inlineStr">
        <is>
          <t>Cumprido</t>
        </is>
      </c>
      <c r="N993" s="62" t="n">
        <v>46063</v>
      </c>
      <c r="O993" s="67" t="inlineStr">
        <is>
          <t>Reagendamento da perícia - informar cliente</t>
        </is>
      </c>
    </row>
    <row r="994">
      <c r="A994" s="40" t="n"/>
      <c r="B994" s="40" t="inlineStr">
        <is>
          <t>Outras</t>
        </is>
      </c>
      <c r="D994" s="67" t="inlineStr">
        <is>
          <t>Renata Francisco Becker</t>
        </is>
      </c>
      <c r="E994" s="62" t="n">
        <v>45825</v>
      </c>
      <c r="I994" s="67" t="inlineStr">
        <is>
          <t>5025714-65.2023.8.24.0020</t>
        </is>
      </c>
      <c r="J994" s="67" t="inlineStr">
        <is>
          <t>Tarefa</t>
        </is>
      </c>
      <c r="K994" s="62" t="n">
        <v>46063</v>
      </c>
      <c r="L994" s="67" t="inlineStr">
        <is>
          <t>Renata Francisco Becker</t>
        </is>
      </c>
      <c r="M994" s="40" t="inlineStr">
        <is>
          <t>Cumprido</t>
        </is>
      </c>
      <c r="N994" s="62" t="n">
        <v>46063</v>
      </c>
      <c r="O994" s="67" t="inlineStr">
        <is>
          <t>Elaboração</t>
        </is>
      </c>
    </row>
    <row r="995">
      <c r="A995" s="40" t="inlineStr">
        <is>
          <t>5001113-28.2025.8.21.0078</t>
        </is>
      </c>
      <c r="B995" s="40" t="inlineStr">
        <is>
          <t>Outras</t>
        </is>
      </c>
      <c r="D995" s="67" t="inlineStr">
        <is>
          <t>Renata Francisco Becker</t>
        </is>
      </c>
      <c r="E995" s="62" t="n">
        <v>45758</v>
      </c>
      <c r="F995" s="67" t="inlineStr"/>
      <c r="I995" s="67" t="inlineStr">
        <is>
          <t>5000882-44.2025.8.24.0069</t>
        </is>
      </c>
      <c r="J995" s="67" t="inlineStr">
        <is>
          <t>Tarefa</t>
        </is>
      </c>
      <c r="K995" s="62" t="n">
        <v>46063</v>
      </c>
      <c r="L995" s="67" t="inlineStr">
        <is>
          <t xml:space="preserve">Alexia </t>
        </is>
      </c>
      <c r="M995" s="40" t="inlineStr">
        <is>
          <t>Cumprido</t>
        </is>
      </c>
      <c r="N995" s="62" t="n">
        <v>46063</v>
      </c>
      <c r="O995" s="67" t="inlineStr">
        <is>
          <t>Protocolo</t>
        </is>
      </c>
    </row>
    <row r="996">
      <c r="A996" s="40" t="inlineStr">
        <is>
          <t>5020446932024.8.24.0020</t>
        </is>
      </c>
      <c r="B996" s="40" t="inlineStr">
        <is>
          <t>Outras</t>
        </is>
      </c>
      <c r="D996" s="67" t="inlineStr">
        <is>
          <t>Renata Francisco Becker</t>
        </is>
      </c>
      <c r="E996" s="62" t="n">
        <v>45618</v>
      </c>
      <c r="F996" s="67" t="inlineStr">
        <is>
          <t>juizado especial civel</t>
        </is>
      </c>
      <c r="I996" s="67" t="inlineStr">
        <is>
          <t>01560009520055120033</t>
        </is>
      </c>
      <c r="J996" s="67" t="inlineStr">
        <is>
          <t>Tarefa</t>
        </is>
      </c>
      <c r="K996" s="62" t="n">
        <v>46063</v>
      </c>
      <c r="L996" s="67" t="inlineStr">
        <is>
          <t>Luci</t>
        </is>
      </c>
      <c r="M996" s="40" t="inlineStr">
        <is>
          <t>Cumprido</t>
        </is>
      </c>
      <c r="N996" s="62" t="n">
        <v>46063</v>
      </c>
      <c r="O996" s="67" t="inlineStr">
        <is>
          <t>Protocolo</t>
        </is>
      </c>
    </row>
    <row r="997">
      <c r="A997" s="40" t="inlineStr">
        <is>
          <t>5033782-67.2024.8.24.0020</t>
        </is>
      </c>
      <c r="B997" s="40" t="inlineStr">
        <is>
          <t>Outras</t>
        </is>
      </c>
      <c r="D997" s="67" t="inlineStr">
        <is>
          <t>Renata Francisco Becker</t>
        </is>
      </c>
      <c r="E997" s="62" t="n">
        <v>45754</v>
      </c>
      <c r="F997" s="67" t="inlineStr"/>
      <c r="I997" s="67" t="inlineStr">
        <is>
          <t>5012518-57.2025.8.24.0020</t>
        </is>
      </c>
      <c r="J997" s="67" t="inlineStr">
        <is>
          <t>Tarefa</t>
        </is>
      </c>
      <c r="K997" s="62" t="n">
        <v>46063</v>
      </c>
      <c r="L997" s="67" t="inlineStr">
        <is>
          <t xml:space="preserve">Alexia </t>
        </is>
      </c>
      <c r="M997" s="40" t="inlineStr">
        <is>
          <t>Cumprido</t>
        </is>
      </c>
      <c r="N997" s="62" t="n">
        <v>46063</v>
      </c>
      <c r="O997" s="67" t="inlineStr">
        <is>
          <t>Protocolo</t>
        </is>
      </c>
    </row>
    <row r="998">
      <c r="A998" s="40" t="inlineStr">
        <is>
          <t>5004565-54.2021.4.04.7204</t>
        </is>
      </c>
      <c r="B998" s="40" t="inlineStr">
        <is>
          <t>Outras</t>
        </is>
      </c>
      <c r="D998" s="67" t="inlineStr">
        <is>
          <t>Renata Francisco Becker</t>
        </is>
      </c>
      <c r="E998" s="62" t="n">
        <v>44802</v>
      </c>
      <c r="F998" s="67" t="inlineStr">
        <is>
          <t>Juízo Substituto da 1ª VF de Tubarão</t>
        </is>
      </c>
      <c r="I998" s="67" t="inlineStr">
        <is>
          <t>5001708-12.2021.8.24.0166</t>
        </is>
      </c>
      <c r="J998" s="67" t="inlineStr">
        <is>
          <t>Tarefa</t>
        </is>
      </c>
      <c r="K998" s="62" t="n">
        <v>46063</v>
      </c>
      <c r="L998" s="67" t="inlineStr">
        <is>
          <t xml:space="preserve">Alexia </t>
        </is>
      </c>
      <c r="M998" s="40" t="inlineStr">
        <is>
          <t>Cumprido</t>
        </is>
      </c>
      <c r="N998" s="62" t="n">
        <v>46063</v>
      </c>
      <c r="O998" s="67" t="inlineStr">
        <is>
          <t>Protocolo</t>
        </is>
      </c>
    </row>
    <row r="999">
      <c r="A999" s="40" t="inlineStr">
        <is>
          <t>50045655420214047204</t>
        </is>
      </c>
      <c r="B999" s="40" t="inlineStr">
        <is>
          <t>Outras</t>
        </is>
      </c>
      <c r="D999" s="67" t="inlineStr">
        <is>
          <t>Renata Francisco Becker</t>
        </is>
      </c>
      <c r="E999" s="62" t="n">
        <v>45468</v>
      </c>
      <c r="F999" s="67" t="inlineStr"/>
      <c r="I999" s="67" t="inlineStr">
        <is>
          <t>5011355-42.2025.8.24.0020</t>
        </is>
      </c>
      <c r="J999" s="67" t="inlineStr">
        <is>
          <t>Tarefa</t>
        </is>
      </c>
      <c r="K999" s="62" t="n">
        <v>46063</v>
      </c>
      <c r="L999" s="67" t="inlineStr">
        <is>
          <t xml:space="preserve">Alexia </t>
        </is>
      </c>
      <c r="M999" s="40" t="inlineStr">
        <is>
          <t>Cumprido</t>
        </is>
      </c>
      <c r="N999" s="62" t="n">
        <v>46063</v>
      </c>
      <c r="O999" s="67" t="inlineStr">
        <is>
          <t>Protocolo</t>
        </is>
      </c>
    </row>
    <row r="1000">
      <c r="A1000" s="40" t="n"/>
      <c r="B1000" s="40" t="inlineStr">
        <is>
          <t>Outras</t>
        </is>
      </c>
      <c r="D1000" s="67" t="inlineStr">
        <is>
          <t>Pedro Victor</t>
        </is>
      </c>
      <c r="E1000" s="62" t="n">
        <v>45798</v>
      </c>
      <c r="I1000" s="67" t="inlineStr">
        <is>
          <t>5029750-82.2025.8.24.0020</t>
        </is>
      </c>
      <c r="J1000" s="67" t="inlineStr">
        <is>
          <t>Tarefa</t>
        </is>
      </c>
      <c r="K1000" s="62" t="n">
        <v>46063</v>
      </c>
      <c r="L1000" s="67" t="inlineStr">
        <is>
          <t>Luci</t>
        </is>
      </c>
      <c r="M1000" s="40" t="inlineStr">
        <is>
          <t>Cumprido</t>
        </is>
      </c>
      <c r="N1000" s="62" t="n">
        <v>46063</v>
      </c>
      <c r="O1000" s="67" t="inlineStr">
        <is>
          <t xml:space="preserve">Protocolo </t>
        </is>
      </c>
    </row>
    <row r="1001">
      <c r="A1001" s="40" t="n"/>
      <c r="B1001" s="40" t="inlineStr">
        <is>
          <t>Outras</t>
        </is>
      </c>
      <c r="D1001" s="67" t="inlineStr">
        <is>
          <t>Pedro Victor</t>
        </is>
      </c>
      <c r="E1001" s="62" t="n">
        <v>45805</v>
      </c>
      <c r="I1001" s="67" t="inlineStr">
        <is>
          <t>5028410-06.2025.8.24.0020</t>
        </is>
      </c>
      <c r="J1001" s="67" t="inlineStr">
        <is>
          <t>Tarefa</t>
        </is>
      </c>
      <c r="K1001" s="62" t="n">
        <v>46063</v>
      </c>
      <c r="L1001" s="67" t="inlineStr">
        <is>
          <t>Julia</t>
        </is>
      </c>
      <c r="M1001" s="40" t="inlineStr">
        <is>
          <t>Cumprido</t>
        </is>
      </c>
      <c r="N1001" s="62" t="n">
        <v>46063</v>
      </c>
      <c r="O1001" s="67" t="inlineStr">
        <is>
          <t xml:space="preserve">Protocolo </t>
        </is>
      </c>
    </row>
    <row r="1002">
      <c r="A1002" s="40" t="inlineStr">
        <is>
          <t>5000153-15.2018.8.24.0020</t>
        </is>
      </c>
      <c r="B1002" s="40" t="inlineStr">
        <is>
          <t>Outras</t>
        </is>
      </c>
      <c r="D1002" s="67" t="inlineStr">
        <is>
          <t>Renata Francisco Becker</t>
        </is>
      </c>
      <c r="E1002" s="62" t="n">
        <v>44715</v>
      </c>
      <c r="F1002" s="67" t="inlineStr">
        <is>
          <t>Juízo da 1ª Vara Cível da Comarca de Criciúma</t>
        </is>
      </c>
      <c r="I1002" s="67" t="inlineStr">
        <is>
          <t>50269221620258240020</t>
        </is>
      </c>
      <c r="J1002" s="67" t="inlineStr">
        <is>
          <t>Tarefa</t>
        </is>
      </c>
      <c r="K1002" s="62" t="n">
        <v>46063</v>
      </c>
      <c r="L1002" s="67" t="inlineStr">
        <is>
          <t>Luci</t>
        </is>
      </c>
      <c r="M1002" s="40" t="inlineStr">
        <is>
          <t>Cumprido</t>
        </is>
      </c>
      <c r="N1002" s="62" t="n">
        <v>46063</v>
      </c>
      <c r="O1002" s="67" t="inlineStr">
        <is>
          <t xml:space="preserve">Protocolo </t>
        </is>
      </c>
    </row>
    <row r="1003">
      <c r="A1003" s="40" t="inlineStr">
        <is>
          <t>5032597-91.2024.8.24.0020</t>
        </is>
      </c>
      <c r="B1003" s="40" t="inlineStr">
        <is>
          <t>Outras</t>
        </is>
      </c>
      <c r="D1003" s="67" t="inlineStr">
        <is>
          <t>Renata Francisco Becker</t>
        </is>
      </c>
      <c r="E1003" s="62" t="n">
        <v>45709</v>
      </c>
      <c r="F1003" s="67" t="inlineStr">
        <is>
          <t>Vara da Fazenda Pública</t>
        </is>
      </c>
      <c r="I1003" s="67" t="inlineStr">
        <is>
          <t>00001865320235120003</t>
        </is>
      </c>
      <c r="J1003" s="67" t="inlineStr">
        <is>
          <t>Tarefa</t>
        </is>
      </c>
      <c r="K1003" s="62" t="n">
        <v>46063</v>
      </c>
      <c r="L1003" s="67" t="inlineStr">
        <is>
          <t>Luci</t>
        </is>
      </c>
      <c r="M1003" s="40" t="inlineStr">
        <is>
          <t>Cumprido</t>
        </is>
      </c>
      <c r="N1003" s="62" t="n">
        <v>46063</v>
      </c>
      <c r="O1003" s="67" t="inlineStr">
        <is>
          <t xml:space="preserve">Protocolo </t>
        </is>
      </c>
    </row>
    <row r="1004">
      <c r="A1004" s="40" t="inlineStr">
        <is>
          <t>50304497820228240020</t>
        </is>
      </c>
      <c r="B1004" s="40" t="inlineStr">
        <is>
          <t>Outras</t>
        </is>
      </c>
      <c r="D1004" s="67" t="inlineStr">
        <is>
          <t>Renata Francisco Becker</t>
        </is>
      </c>
      <c r="E1004" s="62" t="n">
        <v>44986</v>
      </c>
      <c r="F1004" s="67" t="inlineStr"/>
      <c r="I1004" s="67" t="inlineStr">
        <is>
          <t>5000882-44.2025.8.24.0069</t>
        </is>
      </c>
      <c r="J1004" s="67" t="inlineStr">
        <is>
          <t>Tarefa</t>
        </is>
      </c>
      <c r="K1004" s="62" t="n">
        <v>46063</v>
      </c>
      <c r="L1004" s="67" t="inlineStr">
        <is>
          <t>Renata Francisco Becker</t>
        </is>
      </c>
      <c r="M1004" s="40" t="inlineStr">
        <is>
          <t>Cumprido</t>
        </is>
      </c>
      <c r="N1004" s="62" t="n">
        <v>46063</v>
      </c>
      <c r="O1004" s="67" t="inlineStr">
        <is>
          <t>Revisão</t>
        </is>
      </c>
    </row>
    <row r="1005">
      <c r="A1005" s="40" t="inlineStr">
        <is>
          <t>0000007-60.2023.5.12.0055</t>
        </is>
      </c>
      <c r="B1005" s="40" t="inlineStr">
        <is>
          <t>Outras</t>
        </is>
      </c>
      <c r="D1005" s="67" t="inlineStr">
        <is>
          <t>Renata Francisco Becker</t>
        </is>
      </c>
      <c r="E1005" s="62" t="n">
        <v>45831</v>
      </c>
      <c r="F1005" s="67" t="inlineStr"/>
      <c r="I1005" s="67" t="inlineStr">
        <is>
          <t>5012518-57.2025.8.24.0020</t>
        </is>
      </c>
      <c r="J1005" s="67" t="inlineStr">
        <is>
          <t>Tarefa</t>
        </is>
      </c>
      <c r="K1005" s="62" t="n">
        <v>46063</v>
      </c>
      <c r="L1005" s="67" t="inlineStr">
        <is>
          <t>Renata Francisco Becker</t>
        </is>
      </c>
      <c r="M1005" s="40" t="inlineStr">
        <is>
          <t>Cumprido</t>
        </is>
      </c>
      <c r="N1005" s="62" t="n">
        <v>46063</v>
      </c>
      <c r="O1005" s="67" t="inlineStr">
        <is>
          <t>Revisão</t>
        </is>
      </c>
    </row>
    <row r="1006">
      <c r="A1006" s="40" t="inlineStr">
        <is>
          <t>5005069-96.2025.8.24.0004</t>
        </is>
      </c>
      <c r="B1006" s="40" t="inlineStr">
        <is>
          <t>Outras</t>
        </is>
      </c>
      <c r="D1006" s="67" t="inlineStr">
        <is>
          <t>Renata Francisco Becker</t>
        </is>
      </c>
      <c r="E1006" s="62" t="n">
        <v>45779</v>
      </c>
      <c r="F1006" s="67" t="inlineStr">
        <is>
          <t>3° vara cível</t>
        </is>
      </c>
      <c r="I1006" s="67" t="inlineStr">
        <is>
          <t>5011355-42.2025.8.24.0020</t>
        </is>
      </c>
      <c r="J1006" s="67" t="inlineStr">
        <is>
          <t>Tarefa</t>
        </is>
      </c>
      <c r="K1006" s="62" t="n">
        <v>46063</v>
      </c>
      <c r="L1006" s="67" t="inlineStr">
        <is>
          <t>Renata Francisco Becker</t>
        </is>
      </c>
      <c r="M1006" s="40" t="inlineStr">
        <is>
          <t>Cumprido</t>
        </is>
      </c>
      <c r="N1006" s="62" t="n">
        <v>46063</v>
      </c>
      <c r="O1006" s="67" t="inlineStr">
        <is>
          <t>Revisão</t>
        </is>
      </c>
    </row>
    <row r="1007">
      <c r="A1007" s="40" t="n"/>
      <c r="B1007" s="40" t="inlineStr">
        <is>
          <t>Outras</t>
        </is>
      </c>
      <c r="D1007" s="67" t="inlineStr">
        <is>
          <t>Renata Francisco Becker</t>
        </is>
      </c>
      <c r="E1007" s="62" t="n">
        <v>45797</v>
      </c>
      <c r="I1007" s="67" t="inlineStr">
        <is>
          <t>03031132420168240020</t>
        </is>
      </c>
      <c r="J1007" s="67" t="inlineStr">
        <is>
          <t>Tarefa</t>
        </is>
      </c>
      <c r="K1007" s="62" t="n">
        <v>46063</v>
      </c>
      <c r="L1007" s="67" t="inlineStr">
        <is>
          <t>Renata Francisco Becker</t>
        </is>
      </c>
      <c r="M1007" s="40" t="inlineStr">
        <is>
          <t>Cumprido</t>
        </is>
      </c>
      <c r="N1007" s="62" t="n">
        <v>46063</v>
      </c>
      <c r="O1007" s="67" t="inlineStr">
        <is>
          <t>Revisão - Back</t>
        </is>
      </c>
    </row>
    <row r="1008">
      <c r="A1008" s="40" t="n"/>
      <c r="B1008" s="40" t="inlineStr">
        <is>
          <t>Outras</t>
        </is>
      </c>
      <c r="D1008" s="67" t="inlineStr">
        <is>
          <t>Renata Francisco Becker</t>
        </is>
      </c>
      <c r="E1008" s="62" t="n">
        <v>45581</v>
      </c>
      <c r="I1008" s="67" t="inlineStr"/>
      <c r="J1008" s="67" t="inlineStr">
        <is>
          <t>Tarefa</t>
        </is>
      </c>
      <c r="K1008" s="62" t="n">
        <v>46063</v>
      </c>
      <c r="L1008" s="67" t="inlineStr">
        <is>
          <t>Marelize Controladoria</t>
        </is>
      </c>
      <c r="M1008" s="40" t="inlineStr">
        <is>
          <t>Cumprido</t>
        </is>
      </c>
      <c r="N1008" s="62" t="n">
        <v>46063</v>
      </c>
      <c r="O1008" s="67" t="inlineStr">
        <is>
          <t>10/02/2026 - Conferir prazos no TJs - TJSC - TJRS - TRT12 - TRF4 - JFSC - TJRJ - TJPR - TJPA - TJSP - TJGO;</t>
        </is>
      </c>
    </row>
    <row r="1009">
      <c r="A1009" s="40" t="inlineStr">
        <is>
          <t>50105753920248240020</t>
        </is>
      </c>
      <c r="B1009" s="40" t="inlineStr">
        <is>
          <t>Outras</t>
        </is>
      </c>
      <c r="D1009" s="67" t="inlineStr">
        <is>
          <t>Renata Francisco Becker</t>
        </is>
      </c>
      <c r="E1009" s="62" t="n">
        <v>45821</v>
      </c>
      <c r="F1009" s="67" t="inlineStr"/>
      <c r="I1009" s="67" t="inlineStr"/>
      <c r="J1009" s="67" t="inlineStr">
        <is>
          <t>Tarefa</t>
        </is>
      </c>
      <c r="K1009" s="62" t="n">
        <v>46063</v>
      </c>
      <c r="L1009" s="67" t="inlineStr">
        <is>
          <t>Marelize Controladoria</t>
        </is>
      </c>
      <c r="M1009" s="40" t="inlineStr">
        <is>
          <t>Cumprido</t>
        </is>
      </c>
      <c r="N1009" s="62" t="n">
        <v>46063</v>
      </c>
      <c r="O1009" s="67" t="inlineStr">
        <is>
          <t>10/02/2026 - Fazer Agendas.</t>
        </is>
      </c>
    </row>
    <row r="1010">
      <c r="A1010" s="40" t="inlineStr">
        <is>
          <t>5010990-85.2025.8.24.0020</t>
        </is>
      </c>
      <c r="B1010" s="40" t="inlineStr">
        <is>
          <t>Outras</t>
        </is>
      </c>
      <c r="D1010" s="67" t="inlineStr">
        <is>
          <t>Renata Francisco Becker</t>
        </is>
      </c>
      <c r="E1010" s="62" t="n">
        <v>45814</v>
      </c>
      <c r="F1010" s="67" t="inlineStr">
        <is>
          <t>Juízo do Juizado Especial Cível da Comarca de Criciúma</t>
        </is>
      </c>
      <c r="I1010" s="67" t="inlineStr"/>
      <c r="J1010" s="67" t="inlineStr">
        <is>
          <t>Tarefa</t>
        </is>
      </c>
      <c r="K1010" s="62" t="n">
        <v>46063</v>
      </c>
      <c r="L1010" s="67" t="inlineStr">
        <is>
          <t>Marelize Controladoria</t>
        </is>
      </c>
      <c r="M1010" s="40" t="inlineStr">
        <is>
          <t>Cumprido</t>
        </is>
      </c>
      <c r="N1010" s="62" t="n">
        <v>46063</v>
      </c>
      <c r="O1010" s="67" t="inlineStr">
        <is>
          <t>10/02/2026 - Fazer Publicações.</t>
        </is>
      </c>
    </row>
    <row r="1011">
      <c r="A1011" s="40" t="n"/>
      <c r="B1011" s="40" t="inlineStr">
        <is>
          <t>Outras</t>
        </is>
      </c>
      <c r="D1011" s="67" t="inlineStr">
        <is>
          <t>Renata Francisco Becker</t>
        </is>
      </c>
      <c r="E1011" s="62" t="n">
        <v>45771</v>
      </c>
      <c r="I1011" s="67" t="inlineStr"/>
      <c r="J1011" s="67" t="inlineStr">
        <is>
          <t>Tarefa</t>
        </is>
      </c>
      <c r="K1011" s="62" t="n">
        <v>46063</v>
      </c>
      <c r="L1011" s="67" t="inlineStr">
        <is>
          <t>Marelize Controladoria</t>
        </is>
      </c>
      <c r="M1011" s="40" t="inlineStr">
        <is>
          <t>Cumprido</t>
        </is>
      </c>
      <c r="N1011" s="62" t="n">
        <v>46063</v>
      </c>
      <c r="O1011" s="67" t="inlineStr">
        <is>
          <t>10/02/2026 - Olhar E-mails.</t>
        </is>
      </c>
    </row>
    <row r="1012">
      <c r="A1012" s="40" t="n"/>
      <c r="B1012" s="40" t="inlineStr">
        <is>
          <t>Outras</t>
        </is>
      </c>
      <c r="D1012" s="67" t="inlineStr">
        <is>
          <t>Renata Francisco Becker</t>
        </is>
      </c>
      <c r="E1012" s="62" t="n">
        <v>45798</v>
      </c>
      <c r="I1012" s="67" t="inlineStr"/>
      <c r="J1012" s="67" t="inlineStr">
        <is>
          <t>Tarefa</t>
        </is>
      </c>
      <c r="K1012" s="62" t="n">
        <v>46063</v>
      </c>
      <c r="L1012" s="67" t="inlineStr">
        <is>
          <t>Pedro Victor</t>
        </is>
      </c>
      <c r="M1012" s="40" t="inlineStr">
        <is>
          <t>Cumprido</t>
        </is>
      </c>
      <c r="N1012" s="62" t="n">
        <v>46063</v>
      </c>
      <c r="O1012" s="67" t="inlineStr">
        <is>
          <t>Abrir grupo no Whatsapp da empresa</t>
        </is>
      </c>
    </row>
    <row r="1013">
      <c r="A1013" s="40" t="inlineStr">
        <is>
          <t>5001119-78.2025.8.24.0166</t>
        </is>
      </c>
      <c r="B1013" s="40" t="inlineStr">
        <is>
          <t>Outras</t>
        </is>
      </c>
      <c r="D1013" s="67" t="inlineStr">
        <is>
          <t>Renata Francisco Becker</t>
        </is>
      </c>
      <c r="E1013" s="62" t="n">
        <v>45793</v>
      </c>
      <c r="F1013" s="67" t="inlineStr">
        <is>
          <t>Juizo da Vara Única</t>
        </is>
      </c>
      <c r="I1013" s="67" t="inlineStr">
        <is>
          <t>0001610-62.2025.5.12.0003</t>
        </is>
      </c>
      <c r="J1013" s="67" t="inlineStr">
        <is>
          <t>Tarefa</t>
        </is>
      </c>
      <c r="K1013" s="62" t="n">
        <v>46063</v>
      </c>
      <c r="L1013" s="67" t="inlineStr">
        <is>
          <t>Renata Francisco Becker</t>
        </is>
      </c>
      <c r="M1013" s="40" t="inlineStr">
        <is>
          <t>Cumprido</t>
        </is>
      </c>
      <c r="N1013" s="62" t="n">
        <v>46063</v>
      </c>
      <c r="O1013" s="67" t="inlineStr">
        <is>
          <t>Anotar agenda física.</t>
        </is>
      </c>
    </row>
    <row r="1014">
      <c r="A1014" s="40" t="n"/>
      <c r="B1014" s="40" t="inlineStr">
        <is>
          <t>Outras</t>
        </is>
      </c>
      <c r="D1014" s="67" t="inlineStr">
        <is>
          <t>Renata Francisco Becker</t>
        </is>
      </c>
      <c r="E1014" s="62" t="n">
        <v>45825</v>
      </c>
      <c r="I1014" s="67" t="inlineStr">
        <is>
          <t>0000148-36.2026.5.12.0003</t>
        </is>
      </c>
      <c r="J1014" s="67" t="inlineStr">
        <is>
          <t>Tarefa</t>
        </is>
      </c>
      <c r="K1014" s="62" t="n">
        <v>46063</v>
      </c>
      <c r="L1014" s="67" t="inlineStr">
        <is>
          <t>Renata Francisco Becker</t>
        </is>
      </c>
      <c r="M1014" s="40" t="inlineStr">
        <is>
          <t>Cumprido</t>
        </is>
      </c>
      <c r="N1014" s="62" t="n">
        <v>46063</v>
      </c>
      <c r="O1014" s="67" t="inlineStr">
        <is>
          <t>Anotar nas agendas físicas.</t>
        </is>
      </c>
    </row>
    <row r="1015">
      <c r="A1015" s="40" t="inlineStr">
        <is>
          <t>5001835-76.2023.8.24.0166</t>
        </is>
      </c>
      <c r="B1015" s="40" t="inlineStr">
        <is>
          <t>Outras</t>
        </is>
      </c>
      <c r="D1015" s="67" t="inlineStr">
        <is>
          <t>Renata Francisco Becker</t>
        </is>
      </c>
      <c r="E1015" s="62" t="n">
        <v>45126</v>
      </c>
      <c r="F1015" s="67" t="inlineStr">
        <is>
          <t>Juízo da Vara Única da Comarca de Forquilhinha</t>
        </is>
      </c>
      <c r="I1015" s="67" t="inlineStr">
        <is>
          <t>5018665-36.2024.8.24.0020</t>
        </is>
      </c>
      <c r="J1015" s="67" t="inlineStr">
        <is>
          <t>Tarefa</t>
        </is>
      </c>
      <c r="K1015" s="62" t="n">
        <v>46063</v>
      </c>
      <c r="L1015" s="67" t="inlineStr">
        <is>
          <t>Renata Francisco Becker</t>
        </is>
      </c>
      <c r="M1015" s="40" t="inlineStr">
        <is>
          <t>Cumprido</t>
        </is>
      </c>
      <c r="N1015" s="62" t="n">
        <v>46063</v>
      </c>
      <c r="O1015" s="67" t="inlineStr">
        <is>
          <t>Anotar nas agendas físicas.</t>
        </is>
      </c>
    </row>
    <row r="1016">
      <c r="A1016" s="40" t="inlineStr">
        <is>
          <t>5012298-93.2022.8.24.0075</t>
        </is>
      </c>
      <c r="B1016" s="40" t="inlineStr">
        <is>
          <t>Outras</t>
        </is>
      </c>
      <c r="D1016" s="67" t="inlineStr">
        <is>
          <t>Renata Francisco Becker</t>
        </is>
      </c>
      <c r="E1016" s="62" t="n">
        <v>45561</v>
      </c>
      <c r="F1016" s="67" t="inlineStr">
        <is>
          <t>Juízo da 3ª Vara Cível da Comarca de Tubarão</t>
        </is>
      </c>
      <c r="I1016" s="67" t="inlineStr">
        <is>
          <t>50186697320248240020</t>
        </is>
      </c>
      <c r="J1016" s="67" t="inlineStr">
        <is>
          <t>Tarefa</t>
        </is>
      </c>
      <c r="K1016" s="62" t="n">
        <v>46063</v>
      </c>
      <c r="L1016" s="67" t="inlineStr">
        <is>
          <t>Renata Francisco Becker</t>
        </is>
      </c>
      <c r="M1016" s="40" t="inlineStr">
        <is>
          <t>Cumprido</t>
        </is>
      </c>
      <c r="N1016" s="62" t="n">
        <v>46063</v>
      </c>
      <c r="O1016" s="67" t="inlineStr">
        <is>
          <t>Anotar nas agendas físicas.</t>
        </is>
      </c>
    </row>
    <row r="1017">
      <c r="A1017" s="40" t="inlineStr">
        <is>
          <t>5000008-66.2017.8.24.0028</t>
        </is>
      </c>
      <c r="B1017" s="40" t="inlineStr">
        <is>
          <t>Outras</t>
        </is>
      </c>
      <c r="D1017" s="67" t="inlineStr">
        <is>
          <t>Renata Francisco Becker</t>
        </is>
      </c>
      <c r="E1017" s="62" t="n">
        <v>45127</v>
      </c>
      <c r="F1017" s="67" t="inlineStr"/>
      <c r="I1017" s="67" t="inlineStr">
        <is>
          <t>50186697320248240020</t>
        </is>
      </c>
      <c r="J1017" s="67" t="inlineStr">
        <is>
          <t>Tarefa</t>
        </is>
      </c>
      <c r="K1017" s="62" t="n">
        <v>46063</v>
      </c>
      <c r="L1017" s="67" t="inlineStr">
        <is>
          <t>Marelize Controladoria</t>
        </is>
      </c>
      <c r="M1017" s="40" t="inlineStr">
        <is>
          <t>Cumprido</t>
        </is>
      </c>
      <c r="N1017" s="62" t="n">
        <v>46063</v>
      </c>
      <c r="O1017" s="67" t="inlineStr">
        <is>
          <t xml:space="preserve">Avisar cliente da audiencia. </t>
        </is>
      </c>
    </row>
    <row r="1018">
      <c r="A1018" s="40" t="n"/>
      <c r="B1018" s="40" t="inlineStr">
        <is>
          <t>Outras</t>
        </is>
      </c>
      <c r="D1018" s="67" t="inlineStr">
        <is>
          <t>Luci</t>
        </is>
      </c>
      <c r="E1018" s="62" t="n">
        <v>45680</v>
      </c>
      <c r="I1018" s="67" t="inlineStr">
        <is>
          <t>0000148-36.2026.5.12.0003</t>
        </is>
      </c>
      <c r="J1018" s="67" t="inlineStr">
        <is>
          <t>Tarefa</t>
        </is>
      </c>
      <c r="K1018" s="62" t="n">
        <v>46063</v>
      </c>
      <c r="L1018" s="67" t="inlineStr">
        <is>
          <t>Marelize Controladoria</t>
        </is>
      </c>
      <c r="M1018" s="40" t="inlineStr">
        <is>
          <t>Cumprido</t>
        </is>
      </c>
      <c r="N1018" s="62" t="n">
        <v>46063</v>
      </c>
      <c r="O1018" s="67" t="inlineStr">
        <is>
          <t>Avisar cliente da audiencia.</t>
        </is>
      </c>
    </row>
    <row r="1019">
      <c r="A1019" s="40" t="inlineStr">
        <is>
          <t>5012765-92.2023.8.24.0930</t>
        </is>
      </c>
      <c r="B1019" s="40" t="inlineStr">
        <is>
          <t>Outras</t>
        </is>
      </c>
      <c r="D1019" s="67" t="inlineStr">
        <is>
          <t>Renata Francisco Becker</t>
        </is>
      </c>
      <c r="E1019" s="62" t="n">
        <v>45299</v>
      </c>
      <c r="F1019" s="67" t="inlineStr"/>
      <c r="I1019" s="67" t="inlineStr">
        <is>
          <t>0001610-62.2025.5.12.0003</t>
        </is>
      </c>
      <c r="J1019" s="67" t="inlineStr">
        <is>
          <t>Tarefa</t>
        </is>
      </c>
      <c r="K1019" s="62" t="n">
        <v>46063</v>
      </c>
      <c r="L1019" s="67" t="inlineStr">
        <is>
          <t>Marelize Controladoria</t>
        </is>
      </c>
      <c r="M1019" s="40" t="inlineStr">
        <is>
          <t>Cumprido</t>
        </is>
      </c>
      <c r="N1019" s="62" t="n">
        <v>46063</v>
      </c>
      <c r="O1019" s="67" t="inlineStr">
        <is>
          <t xml:space="preserve">Avisar cliente da audiencia. </t>
        </is>
      </c>
    </row>
    <row r="1020">
      <c r="A1020" s="40" t="inlineStr">
        <is>
          <t>0000149-17.2024.5.12.0027</t>
        </is>
      </c>
      <c r="B1020" s="40" t="inlineStr">
        <is>
          <t>Outras</t>
        </is>
      </c>
      <c r="D1020" s="67" t="inlineStr">
        <is>
          <t>Renata Francisco Becker</t>
        </is>
      </c>
      <c r="E1020" s="62" t="n">
        <v>45351</v>
      </c>
      <c r="F1020" s="67" t="inlineStr">
        <is>
          <t>2ª VARA DO TRABALHO DE CRICIÚMA</t>
        </is>
      </c>
      <c r="I1020" s="67" t="inlineStr">
        <is>
          <t>5018665-36.2024.8.24.0020</t>
        </is>
      </c>
      <c r="J1020" s="67" t="inlineStr">
        <is>
          <t>Tarefa</t>
        </is>
      </c>
      <c r="K1020" s="62" t="n">
        <v>46063</v>
      </c>
      <c r="L1020" s="67" t="inlineStr">
        <is>
          <t>Marelize Controladoria</t>
        </is>
      </c>
      <c r="M1020" s="40" t="inlineStr">
        <is>
          <t>Cumprido</t>
        </is>
      </c>
      <c r="N1020" s="62" t="n">
        <v>46063</v>
      </c>
      <c r="O1020" s="67" t="inlineStr">
        <is>
          <t>Avisar cliente da audiencia.</t>
        </is>
      </c>
    </row>
    <row r="1021">
      <c r="A1021" s="40" t="n"/>
      <c r="B1021" s="40" t="inlineStr">
        <is>
          <t>Outras</t>
        </is>
      </c>
      <c r="D1021" s="67" t="inlineStr">
        <is>
          <t>Renata Francisco Becker</t>
        </is>
      </c>
      <c r="E1021" s="62" t="n">
        <v>45804</v>
      </c>
      <c r="I1021" s="67" t="inlineStr">
        <is>
          <t>5000620-97.2026.8.21.0019</t>
        </is>
      </c>
      <c r="J1021" s="67" t="inlineStr">
        <is>
          <t>Tarefa</t>
        </is>
      </c>
      <c r="K1021" s="62" t="n">
        <v>46063</v>
      </c>
      <c r="L1021" s="67" t="inlineStr">
        <is>
          <t>Jessica</t>
        </is>
      </c>
      <c r="M1021" s="40" t="inlineStr">
        <is>
          <t>Cumprido</t>
        </is>
      </c>
      <c r="N1021" s="62" t="n">
        <v>46063</v>
      </c>
      <c r="O1021" s="67" t="inlineStr">
        <is>
          <t xml:space="preserve">Ciencia do prazo </t>
        </is>
      </c>
    </row>
    <row r="1022">
      <c r="A1022" s="40" t="n"/>
      <c r="B1022" s="40" t="inlineStr">
        <is>
          <t>Outras</t>
        </is>
      </c>
      <c r="D1022" s="67" t="inlineStr">
        <is>
          <t>Luci</t>
        </is>
      </c>
      <c r="E1022" s="62" t="n">
        <v>45812</v>
      </c>
      <c r="I1022" s="67" t="inlineStr"/>
      <c r="J1022" s="67" t="inlineStr">
        <is>
          <t>Tarefa</t>
        </is>
      </c>
      <c r="K1022" s="62" t="n">
        <v>46063</v>
      </c>
      <c r="L1022" s="67" t="inlineStr">
        <is>
          <t xml:space="preserve">Lucas </t>
        </is>
      </c>
      <c r="M1022" s="40" t="inlineStr">
        <is>
          <t>Cumprido</t>
        </is>
      </c>
      <c r="N1022" s="62" t="n">
        <v>46063</v>
      </c>
      <c r="O1022" s="67" t="inlineStr">
        <is>
          <t xml:space="preserve">Conferencia com o cliente da peça </t>
        </is>
      </c>
    </row>
    <row r="1023">
      <c r="A1023" s="40" t="n"/>
      <c r="B1023" s="40" t="inlineStr">
        <is>
          <t>Outras</t>
        </is>
      </c>
      <c r="D1023" s="67" t="inlineStr">
        <is>
          <t>Renata Francisco Becker</t>
        </is>
      </c>
      <c r="E1023" s="62" t="n">
        <v>45798</v>
      </c>
      <c r="I1023" s="67" t="inlineStr">
        <is>
          <t>50178045020248240020</t>
        </is>
      </c>
      <c r="J1023" s="67" t="inlineStr">
        <is>
          <t>Tarefa</t>
        </is>
      </c>
      <c r="K1023" s="62" t="n">
        <v>46063</v>
      </c>
      <c r="L1023" s="67" t="inlineStr">
        <is>
          <t xml:space="preserve">Lucas </t>
        </is>
      </c>
      <c r="M1023" s="40" t="inlineStr">
        <is>
          <t>Cumprido</t>
        </is>
      </c>
      <c r="N1023" s="62" t="n">
        <v>46063</v>
      </c>
      <c r="O1023" s="67" t="inlineStr">
        <is>
          <t>Finalização</t>
        </is>
      </c>
    </row>
    <row r="1024">
      <c r="A1024" s="40" t="n"/>
      <c r="B1024" s="40" t="inlineStr">
        <is>
          <t>Outras</t>
        </is>
      </c>
      <c r="D1024" s="67" t="inlineStr">
        <is>
          <t>Renata Francisco Becker</t>
        </is>
      </c>
      <c r="E1024" s="62" t="n">
        <v>45819</v>
      </c>
      <c r="I1024" s="67" t="inlineStr"/>
      <c r="J1024" s="67" t="inlineStr">
        <is>
          <t>Tarefa</t>
        </is>
      </c>
      <c r="K1024" s="62" t="n">
        <v>46063</v>
      </c>
      <c r="L1024" s="67" t="inlineStr">
        <is>
          <t>Pedro Victor</t>
        </is>
      </c>
      <c r="M1024" s="40" t="inlineStr">
        <is>
          <t>Cumprido</t>
        </is>
      </c>
      <c r="N1024" s="62" t="n">
        <v>46063</v>
      </c>
      <c r="O1024" s="67" t="inlineStr">
        <is>
          <t>Lançamento de cadastro financeiro</t>
        </is>
      </c>
    </row>
    <row r="1025">
      <c r="A1025" s="40" t="inlineStr">
        <is>
          <t>0301803-56.2016.8.24.0028</t>
        </is>
      </c>
      <c r="B1025" s="40" t="inlineStr">
        <is>
          <t>Outras</t>
        </is>
      </c>
      <c r="D1025" s="67" t="inlineStr">
        <is>
          <t>Renata Francisco Becker</t>
        </is>
      </c>
      <c r="E1025" s="62" t="n">
        <v>44701</v>
      </c>
      <c r="F1025" s="67" t="inlineStr">
        <is>
          <t>1ª Vara Icara</t>
        </is>
      </c>
      <c r="I1025" s="67" t="inlineStr"/>
      <c r="J1025" s="67" t="inlineStr">
        <is>
          <t>Tarefa</t>
        </is>
      </c>
      <c r="K1025" s="62" t="n">
        <v>46063</v>
      </c>
      <c r="L1025" s="67" t="inlineStr">
        <is>
          <t>Pedro Victor</t>
        </is>
      </c>
      <c r="M1025" s="40" t="inlineStr">
        <is>
          <t>Cumprido</t>
        </is>
      </c>
      <c r="N1025" s="62" t="n">
        <v>46063</v>
      </c>
      <c r="O1025" s="67" t="inlineStr">
        <is>
          <t>Lançamento de cadastro financeiro</t>
        </is>
      </c>
    </row>
    <row r="1026">
      <c r="A1026" s="40" t="inlineStr">
        <is>
          <t>50106517520204047204</t>
        </is>
      </c>
      <c r="B1026" s="40" t="inlineStr">
        <is>
          <t>Outras</t>
        </is>
      </c>
      <c r="D1026" s="67" t="inlineStr">
        <is>
          <t>Renata Francisco Becker</t>
        </is>
      </c>
      <c r="E1026" s="62" t="n">
        <v>44804</v>
      </c>
      <c r="F1026" s="67" t="inlineStr"/>
      <c r="I1026" s="67" t="inlineStr"/>
      <c r="J1026" s="67" t="inlineStr">
        <is>
          <t>Tarefa</t>
        </is>
      </c>
      <c r="K1026" s="62" t="n">
        <v>46063</v>
      </c>
      <c r="L1026" s="67" t="inlineStr">
        <is>
          <t>Pedro Victor</t>
        </is>
      </c>
      <c r="M1026" s="40" t="inlineStr">
        <is>
          <t>Cumprido</t>
        </is>
      </c>
      <c r="N1026" s="62" t="n">
        <v>46063</v>
      </c>
      <c r="O1026" s="67" t="inlineStr">
        <is>
          <t>Lançamento de cadastro financeiro</t>
        </is>
      </c>
    </row>
    <row r="1027">
      <c r="A1027" s="40" t="inlineStr">
        <is>
          <t>5005393-38.2025.8.24.0020</t>
        </is>
      </c>
      <c r="B1027" s="40" t="inlineStr">
        <is>
          <t>Outras</t>
        </is>
      </c>
      <c r="D1027" s="67" t="inlineStr">
        <is>
          <t>Renata Francisco Becker</t>
        </is>
      </c>
      <c r="E1027" s="62" t="n">
        <v>45728</v>
      </c>
      <c r="F1027" s="67" t="inlineStr">
        <is>
          <t>Juízo da 4ª Vara Cível da Comarca de Criciúma</t>
        </is>
      </c>
      <c r="I1027" s="67" t="inlineStr"/>
      <c r="J1027" s="67" t="inlineStr">
        <is>
          <t>Tarefa</t>
        </is>
      </c>
      <c r="K1027" s="62" t="n">
        <v>46063</v>
      </c>
      <c r="L1027" s="67" t="inlineStr">
        <is>
          <t>Renata Francisco Becker</t>
        </is>
      </c>
      <c r="M1027" s="40" t="inlineStr">
        <is>
          <t>Cumprido</t>
        </is>
      </c>
      <c r="N1027" s="62" t="n">
        <v>46063</v>
      </c>
      <c r="O1027" s="67" t="inlineStr">
        <is>
          <t>Pegar contrato social e documentos dos sócios</t>
        </is>
      </c>
    </row>
    <row r="1028">
      <c r="A1028" s="40" t="n"/>
      <c r="B1028" s="40" t="inlineStr">
        <is>
          <t>Outras</t>
        </is>
      </c>
      <c r="D1028" s="67" t="inlineStr">
        <is>
          <t>Renata Francisco Becker</t>
        </is>
      </c>
      <c r="E1028" s="62" t="n">
        <v>45818</v>
      </c>
      <c r="I1028" s="67" t="inlineStr">
        <is>
          <t>0001610-62.2025.5.12.0003</t>
        </is>
      </c>
      <c r="J1028" s="67" t="inlineStr">
        <is>
          <t>Tarefa</t>
        </is>
      </c>
      <c r="K1028" s="62" t="n">
        <v>46063</v>
      </c>
      <c r="L1028" s="67" t="inlineStr">
        <is>
          <t>Luci</t>
        </is>
      </c>
      <c r="M1028" s="40" t="inlineStr">
        <is>
          <t>Cumprido</t>
        </is>
      </c>
      <c r="N1028" s="62" t="n">
        <v>46063</v>
      </c>
      <c r="O1028" s="67" t="inlineStr">
        <is>
          <t>Preparar cliente para audiencia.</t>
        </is>
      </c>
    </row>
    <row r="1029">
      <c r="A1029" s="40" t="n"/>
      <c r="B1029" s="40" t="inlineStr">
        <is>
          <t>Outras</t>
        </is>
      </c>
      <c r="D1029" s="67" t="inlineStr">
        <is>
          <t>Renata Francisco Becker</t>
        </is>
      </c>
      <c r="E1029" s="62" t="n">
        <v>45807</v>
      </c>
      <c r="I1029" s="67" t="inlineStr">
        <is>
          <t>5032306-91.2024.8.24.0020</t>
        </is>
      </c>
      <c r="J1029" s="67" t="inlineStr">
        <is>
          <t>Tarefa</t>
        </is>
      </c>
      <c r="K1029" s="62" t="n">
        <v>46063</v>
      </c>
      <c r="L1029" s="67" t="inlineStr">
        <is>
          <t xml:space="preserve">Alexia </t>
        </is>
      </c>
      <c r="M1029" s="40" t="inlineStr">
        <is>
          <t>Cumprido</t>
        </is>
      </c>
      <c r="N1029" s="62" t="n">
        <v>46063</v>
      </c>
      <c r="O1029" s="67" t="inlineStr">
        <is>
          <t>Protocolo</t>
        </is>
      </c>
    </row>
    <row r="1030">
      <c r="A1030" s="40" t="inlineStr">
        <is>
          <t>00016371120105120055</t>
        </is>
      </c>
      <c r="B1030" s="40" t="inlineStr">
        <is>
          <t>Outras</t>
        </is>
      </c>
      <c r="D1030" s="67" t="inlineStr">
        <is>
          <t>Pedro Victor</t>
        </is>
      </c>
      <c r="E1030" s="62" t="n">
        <v>45813</v>
      </c>
      <c r="F1030" s="67" t="inlineStr"/>
      <c r="I1030" s="67" t="inlineStr">
        <is>
          <t>50142582320254047204</t>
        </is>
      </c>
      <c r="J1030" s="67" t="inlineStr">
        <is>
          <t>Tarefa</t>
        </is>
      </c>
      <c r="K1030" s="62" t="n">
        <v>46063</v>
      </c>
      <c r="L1030" s="67" t="inlineStr">
        <is>
          <t>Jessica</t>
        </is>
      </c>
      <c r="M1030" s="40" t="inlineStr">
        <is>
          <t>Cumprido</t>
        </is>
      </c>
      <c r="N1030" s="62" t="n">
        <v>46063</v>
      </c>
      <c r="O1030" s="67" t="inlineStr">
        <is>
          <t>Protocolo</t>
        </is>
      </c>
    </row>
    <row r="1031">
      <c r="A1031" s="40" t="inlineStr">
        <is>
          <t>5000501-36.2025.8.24.0166</t>
        </is>
      </c>
      <c r="B1031" s="40" t="inlineStr">
        <is>
          <t>Outras</t>
        </is>
      </c>
      <c r="D1031" s="67" t="inlineStr">
        <is>
          <t>Renata Francisco Becker</t>
        </is>
      </c>
      <c r="E1031" s="62" t="n">
        <v>45727</v>
      </c>
      <c r="F1031" s="67" t="inlineStr">
        <is>
          <t>Juizo da vara unica</t>
        </is>
      </c>
      <c r="I1031" s="67" t="inlineStr">
        <is>
          <t>0000223-37.2025.5.12.0027</t>
        </is>
      </c>
      <c r="J1031" s="67" t="inlineStr">
        <is>
          <t>Tarefa</t>
        </is>
      </c>
      <c r="K1031" s="62" t="n">
        <v>46063</v>
      </c>
      <c r="L1031" s="67" t="inlineStr">
        <is>
          <t>Luci</t>
        </is>
      </c>
      <c r="M1031" s="40" t="inlineStr">
        <is>
          <t>Cumprido</t>
        </is>
      </c>
      <c r="N1031" s="62" t="n">
        <v>46063</v>
      </c>
      <c r="O1031" s="67" t="inlineStr">
        <is>
          <t>Protocolo</t>
        </is>
      </c>
    </row>
    <row r="1032">
      <c r="A1032" s="40" t="n"/>
      <c r="B1032" s="40" t="inlineStr">
        <is>
          <t>Outras</t>
        </is>
      </c>
      <c r="D1032" s="67" t="inlineStr">
        <is>
          <t>Pedro Victor</t>
        </is>
      </c>
      <c r="E1032" s="62" t="n">
        <v>45799</v>
      </c>
      <c r="I1032" s="67" t="inlineStr">
        <is>
          <t>5031380-76.2025.8.24.0020</t>
        </is>
      </c>
      <c r="J1032" s="67" t="inlineStr">
        <is>
          <t>Tarefa</t>
        </is>
      </c>
      <c r="K1032" s="62" t="n">
        <v>46063</v>
      </c>
      <c r="L1032" s="67" t="inlineStr">
        <is>
          <t>Jessica</t>
        </is>
      </c>
      <c r="M1032" s="40" t="inlineStr">
        <is>
          <t>Cumprido</t>
        </is>
      </c>
      <c r="N1032" s="62" t="n">
        <v>46063</v>
      </c>
      <c r="O1032" s="67" t="inlineStr">
        <is>
          <t>Protocolo</t>
        </is>
      </c>
    </row>
    <row r="1033">
      <c r="A1033" s="40" t="inlineStr">
        <is>
          <t>5002394-67.2022.8.24.0166</t>
        </is>
      </c>
      <c r="B1033" s="40" t="inlineStr">
        <is>
          <t>Outras</t>
        </is>
      </c>
      <c r="D1033" s="67" t="inlineStr">
        <is>
          <t>Renata Francisco Becker</t>
        </is>
      </c>
      <c r="E1033" s="62" t="n">
        <v>44957</v>
      </c>
      <c r="F1033" s="67" t="inlineStr"/>
      <c r="I1033" s="67" t="inlineStr">
        <is>
          <t>5014179-44.2025.4.04.7204</t>
        </is>
      </c>
      <c r="J1033" s="67" t="inlineStr">
        <is>
          <t>Tarefa</t>
        </is>
      </c>
      <c r="K1033" s="62" t="n">
        <v>46063</v>
      </c>
      <c r="L1033" s="67" t="inlineStr">
        <is>
          <t xml:space="preserve">Lucas </t>
        </is>
      </c>
      <c r="M1033" s="40" t="inlineStr">
        <is>
          <t>Cumprido</t>
        </is>
      </c>
      <c r="N1033" s="62" t="n">
        <v>46063</v>
      </c>
      <c r="O1033" s="67" t="inlineStr">
        <is>
          <t>Protocolo</t>
        </is>
      </c>
    </row>
    <row r="1034">
      <c r="A1034" s="40" t="inlineStr">
        <is>
          <t>5012503-88.2025.8.24.0020</t>
        </is>
      </c>
      <c r="B1034" s="40" t="inlineStr">
        <is>
          <t>Outras</t>
        </is>
      </c>
      <c r="D1034" s="67" t="inlineStr">
        <is>
          <t>Renata Francisco Becker</t>
        </is>
      </c>
      <c r="E1034" s="62" t="n">
        <v>45810</v>
      </c>
      <c r="F1034" s="67" t="inlineStr">
        <is>
          <t>Juizado Especial Cível</t>
        </is>
      </c>
      <c r="I1034" s="67" t="inlineStr">
        <is>
          <t>50298694320258240020</t>
        </is>
      </c>
      <c r="J1034" s="67" t="inlineStr">
        <is>
          <t>Tarefa</t>
        </is>
      </c>
      <c r="K1034" s="62" t="n">
        <v>46063</v>
      </c>
      <c r="L1034" s="67" t="inlineStr">
        <is>
          <t xml:space="preserve">Alexia </t>
        </is>
      </c>
      <c r="M1034" s="40" t="inlineStr">
        <is>
          <t>Cumprido</t>
        </is>
      </c>
      <c r="N1034" s="62" t="n">
        <v>46063</v>
      </c>
      <c r="O1034" s="67" t="inlineStr">
        <is>
          <t>Protocolo</t>
        </is>
      </c>
    </row>
    <row r="1035">
      <c r="A1035" s="40" t="inlineStr">
        <is>
          <t>5003184-28.2025.8.24.0075</t>
        </is>
      </c>
      <c r="B1035" s="40" t="inlineStr">
        <is>
          <t>Outras</t>
        </is>
      </c>
      <c r="D1035" s="67" t="inlineStr">
        <is>
          <t>Renata Francisco Becker</t>
        </is>
      </c>
      <c r="E1035" s="62" t="n">
        <v>45754</v>
      </c>
      <c r="F1035" s="67" t="inlineStr"/>
      <c r="I1035" s="67" t="inlineStr">
        <is>
          <t>0010142-48.2025.5.15.0033</t>
        </is>
      </c>
      <c r="J1035" s="67" t="inlineStr">
        <is>
          <t>Tarefa</t>
        </is>
      </c>
      <c r="K1035" s="62" t="n">
        <v>46063</v>
      </c>
      <c r="L1035" s="67" t="inlineStr">
        <is>
          <t>Luci</t>
        </is>
      </c>
      <c r="M1035" s="40" t="inlineStr">
        <is>
          <t>Cumprido</t>
        </is>
      </c>
      <c r="N1035" s="62" t="n">
        <v>46063</v>
      </c>
      <c r="O1035" s="67" t="inlineStr">
        <is>
          <t>Protocolo</t>
        </is>
      </c>
    </row>
    <row r="1036">
      <c r="A1036" s="40" t="inlineStr">
        <is>
          <t>5013020-98.2022.8.24.0020</t>
        </is>
      </c>
      <c r="B1036" s="40" t="inlineStr">
        <is>
          <t>Outras</t>
        </is>
      </c>
      <c r="D1036" s="67" t="inlineStr">
        <is>
          <t>Renata Francisco Becker</t>
        </is>
      </c>
      <c r="E1036" s="62" t="n">
        <v>44727</v>
      </c>
      <c r="F1036" s="67" t="inlineStr">
        <is>
          <t>Juízo da 2ª Vara da Fazenda Pública da Comarca de Criciúma</t>
        </is>
      </c>
      <c r="I1036" s="67" t="inlineStr">
        <is>
          <t>5023102-23.2024.8.24.0020</t>
        </is>
      </c>
      <c r="J1036" s="67" t="inlineStr">
        <is>
          <t>Tarefa</t>
        </is>
      </c>
      <c r="K1036" s="62" t="n">
        <v>46063</v>
      </c>
      <c r="L1036" s="67" t="inlineStr">
        <is>
          <t xml:space="preserve">Alexia </t>
        </is>
      </c>
      <c r="M1036" s="40" t="inlineStr">
        <is>
          <t>Cumprido</t>
        </is>
      </c>
      <c r="N1036" s="62" t="n">
        <v>46063</v>
      </c>
      <c r="O1036" s="67" t="inlineStr">
        <is>
          <t>Protocolo</t>
        </is>
      </c>
    </row>
    <row r="1037">
      <c r="A1037" s="40" t="inlineStr">
        <is>
          <t>5017196-23.2022.8.24.0020</t>
        </is>
      </c>
      <c r="B1037" s="40" t="inlineStr">
        <is>
          <t>Outras</t>
        </is>
      </c>
      <c r="D1037" s="67" t="inlineStr">
        <is>
          <t>Renata Francisco Becker</t>
        </is>
      </c>
      <c r="E1037" s="62" t="n">
        <v>44988</v>
      </c>
      <c r="F1037" s="67" t="inlineStr">
        <is>
          <t>Juízo do Juizado Especial Cível da Comarca de Criciúma</t>
        </is>
      </c>
      <c r="I1037" s="67" t="inlineStr">
        <is>
          <t>50061370320258240030</t>
        </is>
      </c>
      <c r="J1037" s="67" t="inlineStr">
        <is>
          <t>Tarefa</t>
        </is>
      </c>
      <c r="K1037" s="62" t="n">
        <v>46063</v>
      </c>
      <c r="L1037" s="67" t="inlineStr">
        <is>
          <t>Julia</t>
        </is>
      </c>
      <c r="M1037" s="40" t="inlineStr">
        <is>
          <t>Cumprido</t>
        </is>
      </c>
      <c r="N1037" s="62" t="n">
        <v>46063</v>
      </c>
      <c r="O1037" s="67" t="inlineStr">
        <is>
          <t>RETORNO - Maurício Ex. Imbituba (Como está a questão do leite?)</t>
        </is>
      </c>
    </row>
    <row r="1038">
      <c r="A1038" s="40" t="inlineStr">
        <is>
          <t>5027740-36.2023.8.24.0020</t>
        </is>
      </c>
      <c r="B1038" s="40" t="inlineStr">
        <is>
          <t>Outras</t>
        </is>
      </c>
      <c r="D1038" s="67" t="inlineStr">
        <is>
          <t>Renata Francisco Becker</t>
        </is>
      </c>
      <c r="E1038" s="62" t="n">
        <v>45371</v>
      </c>
      <c r="F1038" s="67" t="inlineStr">
        <is>
          <t>familia</t>
        </is>
      </c>
      <c r="I1038" s="67" t="inlineStr">
        <is>
          <t>50298694320258240020</t>
        </is>
      </c>
      <c r="J1038" s="67" t="inlineStr">
        <is>
          <t>Tarefa</t>
        </is>
      </c>
      <c r="K1038" s="62" t="n">
        <v>46063</v>
      </c>
      <c r="L1038" s="67" t="inlineStr">
        <is>
          <t>Renata Francisco Becker</t>
        </is>
      </c>
      <c r="M1038" s="40" t="inlineStr">
        <is>
          <t>Cumprido</t>
        </is>
      </c>
      <c r="N1038" s="62" t="n">
        <v>46063</v>
      </c>
      <c r="O1038" s="67" t="inlineStr">
        <is>
          <t>Revisão</t>
        </is>
      </c>
    </row>
    <row r="1039">
      <c r="A1039" s="40" t="n"/>
      <c r="B1039" s="40" t="inlineStr">
        <is>
          <t>Outras</t>
        </is>
      </c>
      <c r="D1039" s="67" t="inlineStr">
        <is>
          <t>Renata Francisco Becker</t>
        </is>
      </c>
      <c r="E1039" s="62" t="n">
        <v>45810</v>
      </c>
      <c r="I1039" s="67" t="inlineStr"/>
      <c r="J1039" s="67" t="inlineStr">
        <is>
          <t>Tarefa</t>
        </is>
      </c>
      <c r="K1039" s="62" t="n">
        <v>46063</v>
      </c>
      <c r="L1039" s="67" t="inlineStr">
        <is>
          <t>Renata Francisco Becker</t>
        </is>
      </c>
      <c r="M1039" s="40" t="inlineStr">
        <is>
          <t>Cumprido</t>
        </is>
      </c>
      <c r="N1039" s="62" t="n">
        <v>46063</v>
      </c>
      <c r="O1039" s="67" t="inlineStr">
        <is>
          <t>Revisão</t>
        </is>
      </c>
    </row>
    <row r="1040">
      <c r="A1040" s="40" t="inlineStr">
        <is>
          <t>5006058-71.2018.4.04.7204</t>
        </is>
      </c>
      <c r="B1040" s="40" t="inlineStr">
        <is>
          <t>Outras</t>
        </is>
      </c>
      <c r="D1040" s="67" t="inlineStr">
        <is>
          <t>Renata Francisco Becker</t>
        </is>
      </c>
      <c r="E1040" s="62" t="n">
        <v>44741</v>
      </c>
      <c r="F1040" s="67" t="inlineStr">
        <is>
          <t>Juízo Substituto da 4ª VF de Criciúma</t>
        </is>
      </c>
      <c r="I1040" s="67" t="inlineStr">
        <is>
          <t>0000198-30.2026.5.12.0046</t>
        </is>
      </c>
      <c r="J1040" s="67" t="inlineStr">
        <is>
          <t>Tarefa</t>
        </is>
      </c>
      <c r="K1040" s="62" t="n">
        <v>46063</v>
      </c>
      <c r="L1040" s="67" t="inlineStr">
        <is>
          <t>Pedro Victor</t>
        </is>
      </c>
      <c r="M1040" s="40" t="inlineStr">
        <is>
          <t>Cumprido</t>
        </is>
      </c>
      <c r="N1040" s="62" t="n">
        <v>46063</v>
      </c>
      <c r="O1040" s="67" t="inlineStr">
        <is>
          <t>Revisão</t>
        </is>
      </c>
    </row>
    <row r="1041">
      <c r="A1041" s="40" t="inlineStr">
        <is>
          <t>5012269-89.2019.4.04.7204</t>
        </is>
      </c>
      <c r="B1041" s="40" t="inlineStr">
        <is>
          <t>Outras</t>
        </is>
      </c>
      <c r="D1041" s="67" t="inlineStr">
        <is>
          <t>Renata Francisco Becker</t>
        </is>
      </c>
      <c r="E1041" s="62" t="n">
        <v>44706</v>
      </c>
      <c r="F1041" s="67" t="inlineStr">
        <is>
          <t>Juízo Substituto da 4ª VF de Criciúma</t>
        </is>
      </c>
      <c r="I1041" s="67" t="inlineStr">
        <is>
          <t>0010142-48.2025.5.15.0033</t>
        </is>
      </c>
      <c r="J1041" s="67" t="inlineStr">
        <is>
          <t>Tarefa</t>
        </is>
      </c>
      <c r="K1041" s="62" t="n">
        <v>46063</v>
      </c>
      <c r="L1041" s="67" t="inlineStr">
        <is>
          <t>Renata Francisco Becker</t>
        </is>
      </c>
      <c r="M1041" s="40" t="inlineStr">
        <is>
          <t>Cumprido</t>
        </is>
      </c>
      <c r="N1041" s="62" t="n">
        <v>46063</v>
      </c>
      <c r="O1041" s="67" t="inlineStr">
        <is>
          <t>Revisão</t>
        </is>
      </c>
    </row>
    <row r="1042">
      <c r="A1042" s="40" t="n"/>
      <c r="B1042" s="40" t="inlineStr">
        <is>
          <t>Outras</t>
        </is>
      </c>
      <c r="D1042" s="67" t="inlineStr">
        <is>
          <t>Pedro Victor</t>
        </is>
      </c>
      <c r="E1042" s="62" t="n">
        <v>45700</v>
      </c>
      <c r="I1042" s="67" t="inlineStr">
        <is>
          <t>50178045020248240020</t>
        </is>
      </c>
      <c r="J1042" s="67" t="inlineStr">
        <is>
          <t>Tarefa</t>
        </is>
      </c>
      <c r="K1042" s="62" t="n">
        <v>46063</v>
      </c>
      <c r="L1042" s="67" t="inlineStr">
        <is>
          <t>Renata Francisco Becker</t>
        </is>
      </c>
      <c r="M1042" s="40" t="inlineStr">
        <is>
          <t>Cumprido</t>
        </is>
      </c>
      <c r="N1042" s="62" t="n">
        <v>46063</v>
      </c>
      <c r="O1042" s="67" t="inlineStr">
        <is>
          <t>Revisão e assinatura</t>
        </is>
      </c>
    </row>
    <row r="1043">
      <c r="A1043" s="40" t="inlineStr">
        <is>
          <t>50054072220258240020</t>
        </is>
      </c>
      <c r="B1043" s="40" t="inlineStr">
        <is>
          <t>Outras</t>
        </is>
      </c>
      <c r="D1043" s="67" t="inlineStr">
        <is>
          <t>Renata Francisco Becker</t>
        </is>
      </c>
      <c r="E1043" s="62" t="n">
        <v>45734</v>
      </c>
      <c r="F1043" s="67" t="inlineStr"/>
      <c r="I1043" s="67" t="inlineStr"/>
      <c r="J1043" s="67" t="inlineStr">
        <is>
          <t>Tarefa</t>
        </is>
      </c>
      <c r="K1043" s="62" t="n">
        <v>46063</v>
      </c>
      <c r="L1043" s="67" t="inlineStr">
        <is>
          <t>Marelize Controladoria</t>
        </is>
      </c>
      <c r="M1043" s="40" t="inlineStr">
        <is>
          <t>Cumprido</t>
        </is>
      </c>
      <c r="N1043" s="62" t="n">
        <v>46063</v>
      </c>
      <c r="O1043" s="67" t="inlineStr">
        <is>
          <t>Ver publicação desse processo 0101784-10.2025.8.24.0710</t>
        </is>
      </c>
    </row>
    <row r="1044">
      <c r="A1044" s="40" t="inlineStr">
        <is>
          <t>0000017-32.2024.5.12.0003</t>
        </is>
      </c>
      <c r="B1044" s="40" t="inlineStr">
        <is>
          <t>Outras</t>
        </is>
      </c>
      <c r="D1044" s="67" t="inlineStr">
        <is>
          <t>Renata Francisco Becker</t>
        </is>
      </c>
      <c r="E1044" s="62" t="n">
        <v>45352</v>
      </c>
      <c r="F1044" s="67" t="inlineStr"/>
      <c r="I1044" s="67" t="inlineStr"/>
      <c r="J1044" s="67" t="inlineStr">
        <is>
          <t>Tarefa</t>
        </is>
      </c>
      <c r="K1044" s="62" t="n">
        <v>46063</v>
      </c>
      <c r="L1044" s="67" t="inlineStr">
        <is>
          <t>Marelize Controladoria</t>
        </is>
      </c>
      <c r="M1044" s="40" t="inlineStr">
        <is>
          <t>Cumprido</t>
        </is>
      </c>
      <c r="N1044" s="62" t="n">
        <v>46063</v>
      </c>
      <c r="O1044" s="67" t="inlineStr">
        <is>
          <t>Ver se tem alguma demanda de extrema urgência e delegar</t>
        </is>
      </c>
    </row>
    <row r="1045">
      <c r="A1045" s="40" t="inlineStr">
        <is>
          <t>5002610-36.2024.8.24.0076</t>
        </is>
      </c>
      <c r="B1045" s="40" t="inlineStr">
        <is>
          <t>Outras</t>
        </is>
      </c>
      <c r="D1045" s="67" t="inlineStr">
        <is>
          <t>Renata Francisco Becker</t>
        </is>
      </c>
      <c r="E1045" s="62" t="n">
        <v>45638</v>
      </c>
      <c r="F1045" s="67" t="inlineStr"/>
      <c r="I1045" s="67" t="inlineStr"/>
      <c r="J1045" s="67" t="inlineStr">
        <is>
          <t>Prazo</t>
        </is>
      </c>
      <c r="K1045" s="62" t="n">
        <v>46064</v>
      </c>
      <c r="L1045" s="67" t="inlineStr">
        <is>
          <t>Renata Francisco Becker</t>
        </is>
      </c>
      <c r="M1045" s="40" t="inlineStr">
        <is>
          <t>Cumprido</t>
        </is>
      </c>
      <c r="N1045" s="62" t="n">
        <v>46064</v>
      </c>
      <c r="O1045" s="67" t="inlineStr">
        <is>
          <t>Analise de contrato Ex Imbituba</t>
        </is>
      </c>
    </row>
    <row r="1046">
      <c r="A1046" s="40" t="inlineStr">
        <is>
          <t>5002324-37.2019.8.21.0005</t>
        </is>
      </c>
      <c r="B1046" s="40" t="inlineStr">
        <is>
          <t>Outras</t>
        </is>
      </c>
      <c r="D1046" s="67" t="inlineStr">
        <is>
          <t xml:space="preserve">Lucas </t>
        </is>
      </c>
      <c r="E1046" s="62" t="n">
        <v>45750</v>
      </c>
      <c r="F1046" s="67" t="inlineStr">
        <is>
          <t>Vara Cível</t>
        </is>
      </c>
      <c r="I1046" s="67" t="inlineStr"/>
      <c r="J1046" s="67" t="inlineStr">
        <is>
          <t>Prazo</t>
        </is>
      </c>
      <c r="K1046" s="62" t="n">
        <v>46064</v>
      </c>
      <c r="L1046" s="67" t="inlineStr">
        <is>
          <t>Jessica</t>
        </is>
      </c>
      <c r="M1046" s="40" t="inlineStr">
        <is>
          <t>Cumprido</t>
        </is>
      </c>
      <c r="N1046" s="62" t="n">
        <v>46064</v>
      </c>
      <c r="O1046" s="67" t="inlineStr">
        <is>
          <t>Contranotificação JJ</t>
        </is>
      </c>
    </row>
    <row r="1047">
      <c r="A1047" s="40" t="n"/>
      <c r="B1047" s="40" t="inlineStr">
        <is>
          <t>Outras</t>
        </is>
      </c>
      <c r="D1047" s="67" t="inlineStr">
        <is>
          <t>Renata Francisco Becker</t>
        </is>
      </c>
      <c r="E1047" s="62" t="n">
        <v>45804</v>
      </c>
      <c r="I1047" s="67" t="inlineStr">
        <is>
          <t>50239155020248240020</t>
        </is>
      </c>
      <c r="J1047" s="67" t="inlineStr">
        <is>
          <t>Prazo</t>
        </is>
      </c>
      <c r="K1047" s="62" t="n">
        <v>46064</v>
      </c>
      <c r="L1047" s="67" t="inlineStr">
        <is>
          <t xml:space="preserve">Alexia </t>
        </is>
      </c>
      <c r="M1047" s="40" t="inlineStr">
        <is>
          <t>Cumprido</t>
        </is>
      </c>
      <c r="N1047" s="62" t="n">
        <v>46064</v>
      </c>
      <c r="O1047" s="67" t="inlineStr">
        <is>
          <t>Contrarrazões de Apelação</t>
        </is>
      </c>
    </row>
    <row r="1048">
      <c r="A1048" s="40" t="n"/>
      <c r="B1048" s="40" t="inlineStr">
        <is>
          <t>Outras</t>
        </is>
      </c>
      <c r="D1048" s="67" t="inlineStr">
        <is>
          <t>Renata Francisco Becker</t>
        </is>
      </c>
      <c r="E1048" s="62" t="n">
        <v>45807</v>
      </c>
      <c r="I1048" s="67" t="inlineStr"/>
      <c r="J1048" s="67" t="inlineStr">
        <is>
          <t>Prazo</t>
        </is>
      </c>
      <c r="K1048" s="62" t="n">
        <v>46064</v>
      </c>
      <c r="L1048" s="67" t="inlineStr">
        <is>
          <t xml:space="preserve">Lucas </t>
        </is>
      </c>
      <c r="M1048" s="40" t="inlineStr">
        <is>
          <t>Cumprido</t>
        </is>
      </c>
      <c r="N1048" s="62" t="n">
        <v>46064</v>
      </c>
      <c r="O1048" s="67" t="inlineStr">
        <is>
          <t>Defesa autuação Reficel</t>
        </is>
      </c>
    </row>
    <row r="1049">
      <c r="A1049" s="40" t="inlineStr">
        <is>
          <t>5012168-52.2019.4.04.7204</t>
        </is>
      </c>
      <c r="B1049" s="40" t="inlineStr">
        <is>
          <t>Outras</t>
        </is>
      </c>
      <c r="D1049" s="67" t="inlineStr">
        <is>
          <t>Renata Francisco Becker</t>
        </is>
      </c>
      <c r="E1049" s="62" t="n">
        <v>44706</v>
      </c>
      <c r="F1049" s="67" t="inlineStr">
        <is>
          <t>Juízo Substituto da 1ª VF de Tubarão</t>
        </is>
      </c>
      <c r="I1049" s="67" t="inlineStr">
        <is>
          <t>50235352720248240020</t>
        </is>
      </c>
      <c r="J1049" s="67" t="inlineStr">
        <is>
          <t>Prazo</t>
        </is>
      </c>
      <c r="K1049" s="62" t="n">
        <v>46064</v>
      </c>
      <c r="L1049" s="67" t="inlineStr">
        <is>
          <t xml:space="preserve">Alexia </t>
        </is>
      </c>
      <c r="M1049" s="40" t="inlineStr">
        <is>
          <t>Cumprido</t>
        </is>
      </c>
      <c r="N1049" s="62" t="n">
        <v>46064</v>
      </c>
      <c r="O1049" s="67" t="inlineStr">
        <is>
          <t>Prazo</t>
        </is>
      </c>
    </row>
    <row r="1050">
      <c r="A1050" s="40" t="n"/>
      <c r="B1050" s="40" t="inlineStr">
        <is>
          <t>Outras</t>
        </is>
      </c>
      <c r="D1050" s="67" t="inlineStr">
        <is>
          <t>Renata Francisco Becker</t>
        </is>
      </c>
      <c r="E1050" s="62" t="n">
        <v>45737</v>
      </c>
      <c r="I1050" s="67" t="inlineStr"/>
      <c r="J1050" s="67" t="inlineStr">
        <is>
          <t>Prazo</t>
        </is>
      </c>
      <c r="K1050" s="62" t="n">
        <v>46064</v>
      </c>
      <c r="L1050" s="67" t="inlineStr">
        <is>
          <t>Jessica</t>
        </is>
      </c>
      <c r="M1050" s="40" t="inlineStr">
        <is>
          <t>Cumprido</t>
        </is>
      </c>
      <c r="N1050" s="62" t="n">
        <v>46064</v>
      </c>
      <c r="O1050" s="67" t="inlineStr">
        <is>
          <t>Prazo</t>
        </is>
      </c>
    </row>
    <row r="1051">
      <c r="A1051" s="40" t="n"/>
      <c r="B1051" s="40" t="inlineStr">
        <is>
          <t>Outras</t>
        </is>
      </c>
      <c r="D1051" s="67" t="inlineStr">
        <is>
          <t>Pedro Victor</t>
        </is>
      </c>
      <c r="E1051" s="62" t="n">
        <v>45807</v>
      </c>
      <c r="I1051" s="67" t="inlineStr">
        <is>
          <t>1192002-34.2024.8.26.0100</t>
        </is>
      </c>
      <c r="J1051" s="67" t="inlineStr">
        <is>
          <t>Prazo</t>
        </is>
      </c>
      <c r="K1051" s="62" t="n">
        <v>46064</v>
      </c>
      <c r="L1051" s="67" t="inlineStr">
        <is>
          <t>Jessica</t>
        </is>
      </c>
      <c r="M1051" s="40" t="inlineStr">
        <is>
          <t>Cumprido</t>
        </is>
      </c>
      <c r="N1051" s="62" t="n">
        <v>46064</v>
      </c>
      <c r="O1051" s="67" t="inlineStr">
        <is>
          <t>Prazo</t>
        </is>
      </c>
    </row>
    <row r="1052">
      <c r="A1052" s="40" t="inlineStr">
        <is>
          <t>5049816-80.2024.8.24.0000</t>
        </is>
      </c>
      <c r="B1052" s="40" t="inlineStr">
        <is>
          <t>Outras</t>
        </is>
      </c>
      <c r="D1052" s="67" t="inlineStr">
        <is>
          <t>Renata Francisco Becker</t>
        </is>
      </c>
      <c r="E1052" s="62" t="n">
        <v>45642</v>
      </c>
      <c r="F1052" s="67" t="inlineStr">
        <is>
          <t>Gab. 02 - 4ª Câmara de Direito Civil</t>
        </is>
      </c>
      <c r="I1052" s="67" t="inlineStr">
        <is>
          <t>5025749-54.2025.8.24.0020</t>
        </is>
      </c>
      <c r="J1052" s="67" t="inlineStr">
        <is>
          <t>Prazo</t>
        </is>
      </c>
      <c r="K1052" s="62" t="n">
        <v>46064</v>
      </c>
      <c r="L1052" s="67" t="inlineStr">
        <is>
          <t xml:space="preserve">Alexia </t>
        </is>
      </c>
      <c r="M1052" s="40" t="inlineStr">
        <is>
          <t>Cumprido</t>
        </is>
      </c>
      <c r="N1052" s="62" t="n">
        <v>46064</v>
      </c>
      <c r="O1052" s="67" t="inlineStr">
        <is>
          <t xml:space="preserve">Prazo manifestação a impugnação </t>
        </is>
      </c>
    </row>
    <row r="1053">
      <c r="A1053" s="40" t="inlineStr">
        <is>
          <t>5002394-67.2022.8.24.0166</t>
        </is>
      </c>
      <c r="B1053" s="40" t="inlineStr">
        <is>
          <t>Outras</t>
        </is>
      </c>
      <c r="D1053" s="67" t="inlineStr">
        <is>
          <t>Renata Francisco Becker</t>
        </is>
      </c>
      <c r="E1053" s="62" t="n">
        <v>44958</v>
      </c>
      <c r="F1053" s="67" t="inlineStr"/>
      <c r="I1053" s="67" t="inlineStr">
        <is>
          <t>5005745-93.2025.8.24.0020</t>
        </is>
      </c>
      <c r="J1053" s="67" t="inlineStr">
        <is>
          <t>Prazo</t>
        </is>
      </c>
      <c r="K1053" s="62" t="n">
        <v>46064</v>
      </c>
      <c r="L1053" s="67" t="inlineStr">
        <is>
          <t xml:space="preserve">Alexia </t>
        </is>
      </c>
      <c r="M1053" s="40" t="inlineStr">
        <is>
          <t>Cumprido</t>
        </is>
      </c>
      <c r="N1053" s="62" t="n">
        <v>46064</v>
      </c>
      <c r="O1053" s="67" t="inlineStr">
        <is>
          <t>Recurso de Apelação</t>
        </is>
      </c>
    </row>
    <row r="1054">
      <c r="A1054" s="40" t="inlineStr">
        <is>
          <t>50031953520244047204</t>
        </is>
      </c>
      <c r="B1054" s="40" t="inlineStr">
        <is>
          <t>Outras</t>
        </is>
      </c>
      <c r="D1054" s="67" t="inlineStr">
        <is>
          <t>Renata Francisco Becker</t>
        </is>
      </c>
      <c r="E1054" s="62" t="n">
        <v>45512</v>
      </c>
      <c r="F1054" s="67" t="inlineStr"/>
      <c r="I1054" s="67" t="inlineStr">
        <is>
          <t>5005745-93.2025.8.24.0020</t>
        </is>
      </c>
      <c r="J1054" s="67" t="inlineStr">
        <is>
          <t>Tarefa</t>
        </is>
      </c>
      <c r="K1054" s="62" t="n">
        <v>46064</v>
      </c>
      <c r="L1054" s="67" t="inlineStr">
        <is>
          <t xml:space="preserve">Alexia </t>
        </is>
      </c>
      <c r="M1054" s="40" t="inlineStr">
        <is>
          <t>Cumprido</t>
        </is>
      </c>
      <c r="N1054" s="62" t="n">
        <v>46064</v>
      </c>
      <c r="O1054" s="67" t="inlineStr">
        <is>
          <t>Emitir guia recursal</t>
        </is>
      </c>
    </row>
    <row r="1055">
      <c r="A1055" s="40" t="inlineStr">
        <is>
          <t>50038856420244047204</t>
        </is>
      </c>
      <c r="B1055" s="40" t="inlineStr">
        <is>
          <t>Outras</t>
        </is>
      </c>
      <c r="D1055" s="67" t="inlineStr">
        <is>
          <t>Renata Francisco Becker</t>
        </is>
      </c>
      <c r="E1055" s="62" t="n">
        <v>45512</v>
      </c>
      <c r="F1055" s="67" t="inlineStr"/>
      <c r="I1055" s="67" t="inlineStr">
        <is>
          <t>50035098120248240028</t>
        </is>
      </c>
      <c r="J1055" s="67" t="inlineStr">
        <is>
          <t>Tarefa</t>
        </is>
      </c>
      <c r="K1055" s="62" t="n">
        <v>46064</v>
      </c>
      <c r="L1055" s="67" t="inlineStr">
        <is>
          <t>Renata Francisco Becker</t>
        </is>
      </c>
      <c r="M1055" s="40" t="inlineStr">
        <is>
          <t>Cumprido</t>
        </is>
      </c>
      <c r="N1055" s="62" t="n">
        <v>46064</v>
      </c>
      <c r="O1055" s="67" t="inlineStr">
        <is>
          <t>Acompanhar 
Contestação - ação de regresso seguro - acidente de trânsito.
Cliente ainda não foi citado. Nos temos uma ação contra a prefeitura referente a este acidente (5000689-89.2024.8.24.0028).
Acompanhar processo, toda semana, para ver se houve expedição de mandado, para qual endereço, e citação.</t>
        </is>
      </c>
    </row>
    <row r="1056">
      <c r="A1056" s="40" t="inlineStr">
        <is>
          <t>50038821220244047204</t>
        </is>
      </c>
      <c r="B1056" s="40" t="inlineStr">
        <is>
          <t>Outras</t>
        </is>
      </c>
      <c r="D1056" s="67" t="inlineStr">
        <is>
          <t>Renata Francisco Becker</t>
        </is>
      </c>
      <c r="E1056" s="62" t="n">
        <v>45512</v>
      </c>
      <c r="F1056" s="67" t="inlineStr"/>
      <c r="I1056" s="67" t="inlineStr">
        <is>
          <t>5025749-54.2025.8.24.0020</t>
        </is>
      </c>
      <c r="J1056" s="67" t="inlineStr">
        <is>
          <t>Tarefa</t>
        </is>
      </c>
      <c r="K1056" s="62" t="n">
        <v>46064</v>
      </c>
      <c r="L1056" s="67" t="inlineStr">
        <is>
          <t xml:space="preserve">Alexia </t>
        </is>
      </c>
      <c r="M1056" s="40" t="inlineStr">
        <is>
          <t>Cumprido</t>
        </is>
      </c>
      <c r="N1056" s="62" t="n">
        <v>46064</v>
      </c>
      <c r="O1056" s="67" t="inlineStr">
        <is>
          <t xml:space="preserve">Protocolo </t>
        </is>
      </c>
    </row>
    <row r="1057">
      <c r="A1057" s="40" t="n"/>
      <c r="B1057" s="40" t="inlineStr">
        <is>
          <t>Outras</t>
        </is>
      </c>
      <c r="D1057" s="67" t="inlineStr">
        <is>
          <t>Renata Francisco Becker</t>
        </is>
      </c>
      <c r="E1057" s="62" t="n">
        <v>45783</v>
      </c>
      <c r="I1057" s="67" t="inlineStr">
        <is>
          <t>5005745-93.2025.8.24.0020</t>
        </is>
      </c>
      <c r="J1057" s="67" t="inlineStr">
        <is>
          <t>Tarefa</t>
        </is>
      </c>
      <c r="K1057" s="62" t="n">
        <v>46064</v>
      </c>
      <c r="L1057" s="67" t="inlineStr">
        <is>
          <t xml:space="preserve">Alexia </t>
        </is>
      </c>
      <c r="M1057" s="40" t="inlineStr">
        <is>
          <t>Cumprido</t>
        </is>
      </c>
      <c r="N1057" s="62" t="n">
        <v>46064</v>
      </c>
      <c r="O1057" s="67" t="inlineStr">
        <is>
          <t xml:space="preserve">Protocolo </t>
        </is>
      </c>
    </row>
    <row r="1058">
      <c r="A1058" s="40" t="n"/>
      <c r="B1058" s="40" t="inlineStr">
        <is>
          <t>Outras</t>
        </is>
      </c>
      <c r="D1058" s="67" t="inlineStr">
        <is>
          <t>Renata Francisco Becker</t>
        </is>
      </c>
      <c r="E1058" s="62" t="n">
        <v>45797</v>
      </c>
      <c r="I1058" s="67" t="inlineStr">
        <is>
          <t>5003677-49.2025.8.24.0028</t>
        </is>
      </c>
      <c r="J1058" s="67" t="inlineStr">
        <is>
          <t>Tarefa</t>
        </is>
      </c>
      <c r="K1058" s="62" t="n">
        <v>46064</v>
      </c>
      <c r="L1058" s="67" t="inlineStr">
        <is>
          <t>Renata Francisco Becker</t>
        </is>
      </c>
      <c r="M1058" s="40" t="inlineStr">
        <is>
          <t>Cumprido</t>
        </is>
      </c>
      <c r="N1058" s="62" t="n">
        <v>46064</v>
      </c>
      <c r="O1058" s="67" t="inlineStr">
        <is>
          <t xml:space="preserve">Protocolo </t>
        </is>
      </c>
    </row>
    <row r="1059">
      <c r="A1059" s="40" t="n"/>
      <c r="B1059" s="40" t="inlineStr">
        <is>
          <t>Outras</t>
        </is>
      </c>
      <c r="D1059" s="67" t="inlineStr">
        <is>
          <t>Renata Francisco Becker</t>
        </is>
      </c>
      <c r="E1059" s="62" t="n">
        <v>45488</v>
      </c>
      <c r="I1059" s="67" t="inlineStr">
        <is>
          <t>50411418520254040000</t>
        </is>
      </c>
      <c r="J1059" s="67" t="inlineStr">
        <is>
          <t>Tarefa</t>
        </is>
      </c>
      <c r="K1059" s="62" t="n">
        <v>46064</v>
      </c>
      <c r="L1059" s="67" t="inlineStr">
        <is>
          <t>Jessica</t>
        </is>
      </c>
      <c r="M1059" s="40" t="inlineStr">
        <is>
          <t>Cumprido</t>
        </is>
      </c>
      <c r="N1059" s="62" t="n">
        <v>46064</v>
      </c>
      <c r="O1059" s="67" t="inlineStr">
        <is>
          <t xml:space="preserve">Protocolo </t>
        </is>
      </c>
    </row>
    <row r="1060">
      <c r="A1060" s="40" t="n"/>
      <c r="B1060" s="40" t="inlineStr">
        <is>
          <t>Outras</t>
        </is>
      </c>
      <c r="D1060" s="67" t="inlineStr">
        <is>
          <t>Renata Francisco Becker</t>
        </is>
      </c>
      <c r="E1060" s="62" t="n">
        <v>45674</v>
      </c>
      <c r="I1060" s="67" t="inlineStr">
        <is>
          <t>5005745-93.2025.8.24.0020</t>
        </is>
      </c>
      <c r="J1060" s="67" t="inlineStr">
        <is>
          <t>Tarefa</t>
        </is>
      </c>
      <c r="K1060" s="62" t="n">
        <v>46064</v>
      </c>
      <c r="L1060" s="67" t="inlineStr">
        <is>
          <t>Renata Francisco Becker</t>
        </is>
      </c>
      <c r="M1060" s="40" t="inlineStr">
        <is>
          <t>Cumprido</t>
        </is>
      </c>
      <c r="N1060" s="62" t="n">
        <v>46064</v>
      </c>
      <c r="O1060" s="67" t="inlineStr">
        <is>
          <t>Revisão</t>
        </is>
      </c>
    </row>
    <row r="1061">
      <c r="A1061" s="40" t="inlineStr">
        <is>
          <t>5005499-97.2025.8.24.0020</t>
        </is>
      </c>
      <c r="B1061" s="40" t="inlineStr">
        <is>
          <t>Outras</t>
        </is>
      </c>
      <c r="D1061" s="67" t="inlineStr">
        <is>
          <t>Renata Francisco Becker</t>
        </is>
      </c>
      <c r="E1061" s="62" t="n">
        <v>45728</v>
      </c>
      <c r="F1061" s="67" t="inlineStr">
        <is>
          <t>Vara da infância e Juventude</t>
        </is>
      </c>
      <c r="I1061" s="67" t="inlineStr">
        <is>
          <t>5025749-54.2025.8.24.0020</t>
        </is>
      </c>
      <c r="J1061" s="67" t="inlineStr">
        <is>
          <t>Tarefa</t>
        </is>
      </c>
      <c r="K1061" s="62" t="n">
        <v>46064</v>
      </c>
      <c r="L1061" s="67" t="inlineStr">
        <is>
          <t>Renata Francisco Becker</t>
        </is>
      </c>
      <c r="M1061" s="40" t="inlineStr">
        <is>
          <t>Cumprido</t>
        </is>
      </c>
      <c r="N1061" s="62" t="n">
        <v>46064</v>
      </c>
      <c r="O1061" s="67" t="inlineStr">
        <is>
          <t>Revisão</t>
        </is>
      </c>
    </row>
    <row r="1062">
      <c r="A1062" s="40" t="inlineStr">
        <is>
          <t>1026166-52.2024.8.26.0021</t>
        </is>
      </c>
      <c r="B1062" s="40" t="inlineStr">
        <is>
          <t>Outras</t>
        </is>
      </c>
      <c r="D1062" s="67" t="inlineStr">
        <is>
          <t>Renata Francisco Becker</t>
        </is>
      </c>
      <c r="E1062" s="62" t="n">
        <v>45562</v>
      </c>
      <c r="F1062" s="67" t="inlineStr">
        <is>
          <t>Setor Unificado de Cartas Precatórias Cíveis</t>
        </is>
      </c>
      <c r="I1062" s="67" t="inlineStr"/>
      <c r="J1062" s="67" t="inlineStr">
        <is>
          <t>Tarefa</t>
        </is>
      </c>
      <c r="K1062" s="62" t="n">
        <v>46064</v>
      </c>
      <c r="L1062" s="67" t="inlineStr">
        <is>
          <t>Marelize Controladoria</t>
        </is>
      </c>
      <c r="M1062" s="40" t="inlineStr">
        <is>
          <t>Cumprido</t>
        </is>
      </c>
      <c r="N1062" s="62" t="n">
        <v>46064</v>
      </c>
      <c r="O1062" s="67" t="inlineStr">
        <is>
          <t>11/02/2026 - Conferir prazos no TJs - TJSC - TJRS - TRT12 - TRF4 - JFSC - TJRJ - TJPR - TJPA - TJSP - TJGO;</t>
        </is>
      </c>
    </row>
    <row r="1063">
      <c r="A1063" s="40" t="inlineStr">
        <is>
          <t>50333557020248240020</t>
        </is>
      </c>
      <c r="B1063" s="40" t="inlineStr">
        <is>
          <t>Outras</t>
        </is>
      </c>
      <c r="D1063" s="67" t="inlineStr">
        <is>
          <t>Renata Francisco Becker</t>
        </is>
      </c>
      <c r="E1063" s="62" t="n">
        <v>45776</v>
      </c>
      <c r="F1063" s="67" t="inlineStr"/>
      <c r="I1063" s="67" t="inlineStr"/>
      <c r="J1063" s="67" t="inlineStr">
        <is>
          <t>Tarefa</t>
        </is>
      </c>
      <c r="K1063" s="62" t="n">
        <v>46064</v>
      </c>
      <c r="L1063" s="67" t="inlineStr">
        <is>
          <t>Marelize Controladoria</t>
        </is>
      </c>
      <c r="M1063" s="40" t="inlineStr">
        <is>
          <t>Cumprido</t>
        </is>
      </c>
      <c r="N1063" s="62" t="n">
        <v>46064</v>
      </c>
      <c r="O1063" s="67" t="inlineStr">
        <is>
          <t>11/02/2026 - Fazer Agendas.</t>
        </is>
      </c>
    </row>
    <row r="1064">
      <c r="A1064" s="40" t="n"/>
      <c r="B1064" s="40" t="inlineStr">
        <is>
          <t>Outras</t>
        </is>
      </c>
      <c r="D1064" s="67" t="inlineStr">
        <is>
          <t>Renata Francisco Becker</t>
        </is>
      </c>
      <c r="E1064" s="62" t="n">
        <v>45799</v>
      </c>
      <c r="I1064" s="67" t="inlineStr"/>
      <c r="J1064" s="67" t="inlineStr">
        <is>
          <t>Tarefa</t>
        </is>
      </c>
      <c r="K1064" s="62" t="n">
        <v>46064</v>
      </c>
      <c r="L1064" s="67" t="inlineStr">
        <is>
          <t>Marelize Controladoria</t>
        </is>
      </c>
      <c r="M1064" s="40" t="inlineStr">
        <is>
          <t>Cumprido</t>
        </is>
      </c>
      <c r="N1064" s="62" t="n">
        <v>46064</v>
      </c>
      <c r="O1064" s="67" t="inlineStr">
        <is>
          <t>11/02/2026 - Fazer Publicações.</t>
        </is>
      </c>
    </row>
    <row r="1065">
      <c r="A1065" s="40" t="inlineStr">
        <is>
          <t>5015742-42.2021.8.24.0020</t>
        </is>
      </c>
      <c r="B1065" s="40" t="inlineStr">
        <is>
          <t>Outras</t>
        </is>
      </c>
      <c r="D1065" s="67" t="inlineStr">
        <is>
          <t>Renata Francisco Becker</t>
        </is>
      </c>
      <c r="E1065" s="62" t="n">
        <v>44720</v>
      </c>
      <c r="F1065" s="67" t="inlineStr"/>
      <c r="I1065" s="67" t="inlineStr"/>
      <c r="J1065" s="67" t="inlineStr">
        <is>
          <t>Tarefa</t>
        </is>
      </c>
      <c r="K1065" s="62" t="n">
        <v>46064</v>
      </c>
      <c r="L1065" s="67" t="inlineStr">
        <is>
          <t>Marelize Controladoria</t>
        </is>
      </c>
      <c r="M1065" s="40" t="inlineStr">
        <is>
          <t>Cumprido</t>
        </is>
      </c>
      <c r="N1065" s="62" t="n">
        <v>46064</v>
      </c>
      <c r="O1065" s="67" t="inlineStr">
        <is>
          <t>11/02/2026 - Olhar E-mails.</t>
        </is>
      </c>
    </row>
    <row r="1066">
      <c r="A1066" s="40" t="n"/>
      <c r="B1066" s="40" t="inlineStr">
        <is>
          <t>Outras</t>
        </is>
      </c>
      <c r="D1066" s="67" t="inlineStr">
        <is>
          <t>Renata Francisco Becker</t>
        </is>
      </c>
      <c r="E1066" s="62" t="n">
        <v>45797</v>
      </c>
      <c r="I1066" s="67" t="inlineStr">
        <is>
          <t>5020238-75.2025.8.24.0020</t>
        </is>
      </c>
      <c r="J1066" s="67" t="inlineStr">
        <is>
          <t>Tarefa</t>
        </is>
      </c>
      <c r="K1066" s="62" t="n">
        <v>46064</v>
      </c>
      <c r="L1066" s="67" t="inlineStr">
        <is>
          <t>Renata Francisco Becker</t>
        </is>
      </c>
      <c r="M1066" s="40" t="inlineStr">
        <is>
          <t>Cumprido</t>
        </is>
      </c>
      <c r="N1066" s="62" t="n">
        <v>46064</v>
      </c>
      <c r="O1066" s="67" t="inlineStr">
        <is>
          <t>Anotar nas agendas físicas.</t>
        </is>
      </c>
    </row>
    <row r="1067">
      <c r="A1067" s="40" t="inlineStr">
        <is>
          <t>0301162-34.2017.8.24.0028</t>
        </is>
      </c>
      <c r="B1067" s="40" t="inlineStr">
        <is>
          <t>Outras</t>
        </is>
      </c>
      <c r="D1067" s="67" t="inlineStr">
        <is>
          <t>Renata Francisco Becker</t>
        </is>
      </c>
      <c r="E1067" s="62" t="n">
        <v>44701</v>
      </c>
      <c r="F1067" s="67" t="inlineStr">
        <is>
          <t>Juizo Da 1ª Vara Da Comarca De Icara</t>
        </is>
      </c>
      <c r="I1067" s="67" t="inlineStr">
        <is>
          <t>5020238-75.2025.8.24.0020</t>
        </is>
      </c>
      <c r="J1067" s="67" t="inlineStr">
        <is>
          <t>Tarefa</t>
        </is>
      </c>
      <c r="K1067" s="62" t="n">
        <v>46064</v>
      </c>
      <c r="L1067" s="67" t="inlineStr">
        <is>
          <t>Marelize Controladoria</t>
        </is>
      </c>
      <c r="M1067" s="40" t="inlineStr">
        <is>
          <t>Cumprido</t>
        </is>
      </c>
      <c r="N1067" s="62" t="n">
        <v>46064</v>
      </c>
      <c r="O1067" s="67" t="inlineStr">
        <is>
          <t>Avisar cliente da audiencia.</t>
        </is>
      </c>
    </row>
    <row r="1068">
      <c r="A1068" s="40" t="inlineStr">
        <is>
          <t>5059458-48.2022.8.24.0000</t>
        </is>
      </c>
      <c r="B1068" s="40" t="inlineStr">
        <is>
          <t>Outras</t>
        </is>
      </c>
      <c r="D1068" s="67" t="inlineStr">
        <is>
          <t>Renata Francisco Becker</t>
        </is>
      </c>
      <c r="E1068" s="62" t="n">
        <v>44882</v>
      </c>
      <c r="F1068" s="67" t="inlineStr"/>
      <c r="I1068" s="67" t="inlineStr">
        <is>
          <t>5005921-60.2026.8.24.0045</t>
        </is>
      </c>
      <c r="J1068" s="67" t="inlineStr">
        <is>
          <t>Tarefa</t>
        </is>
      </c>
      <c r="K1068" s="62" t="n">
        <v>46064</v>
      </c>
      <c r="L1068" s="67" t="inlineStr">
        <is>
          <t>Pedro Victor</t>
        </is>
      </c>
      <c r="M1068" s="40" t="inlineStr">
        <is>
          <t>Cumprido</t>
        </is>
      </c>
      <c r="N1068" s="62" t="n">
        <v>46064</v>
      </c>
      <c r="O1068" s="67" t="inlineStr">
        <is>
          <t xml:space="preserve">Criar casos taymon </t>
        </is>
      </c>
    </row>
    <row r="1069">
      <c r="A1069" s="40" t="n"/>
      <c r="B1069" s="40" t="inlineStr">
        <is>
          <t>Outras</t>
        </is>
      </c>
      <c r="D1069" s="67" t="inlineStr">
        <is>
          <t>Pedro Victor</t>
        </is>
      </c>
      <c r="E1069" s="62" t="n">
        <v>45785</v>
      </c>
      <c r="I1069" s="67" t="inlineStr"/>
      <c r="J1069" s="67" t="inlineStr">
        <is>
          <t>Tarefa</t>
        </is>
      </c>
      <c r="K1069" s="62" t="n">
        <v>46064</v>
      </c>
      <c r="L1069" s="67" t="inlineStr">
        <is>
          <t>Marelize Controladoria</t>
        </is>
      </c>
      <c r="M1069" s="40" t="inlineStr">
        <is>
          <t>Cumprido</t>
        </is>
      </c>
      <c r="N1069" s="62" t="n">
        <v>46064</v>
      </c>
      <c r="O1069" s="67" t="inlineStr">
        <is>
          <t>Criar pasta no servidor</t>
        </is>
      </c>
    </row>
    <row r="1070">
      <c r="A1070" s="40" t="n"/>
      <c r="B1070" s="40" t="inlineStr">
        <is>
          <t>Outras</t>
        </is>
      </c>
      <c r="D1070" s="67" t="inlineStr">
        <is>
          <t>Luci</t>
        </is>
      </c>
      <c r="E1070" s="62" t="n">
        <v>45691</v>
      </c>
      <c r="I1070" s="67" t="inlineStr">
        <is>
          <t>5011974-69.2025.8.24.0020</t>
        </is>
      </c>
      <c r="J1070" s="67" t="inlineStr">
        <is>
          <t>Tarefa</t>
        </is>
      </c>
      <c r="K1070" s="62" t="n">
        <v>46064</v>
      </c>
      <c r="L1070" s="67" t="inlineStr">
        <is>
          <t>Jessica</t>
        </is>
      </c>
      <c r="M1070" s="40" t="inlineStr">
        <is>
          <t>Cumprido</t>
        </is>
      </c>
      <c r="N1070" s="62" t="n">
        <v>46064</v>
      </c>
      <c r="O1070" s="67" t="inlineStr">
        <is>
          <t xml:space="preserve">emitir 5 parcela </t>
        </is>
      </c>
    </row>
    <row r="1071">
      <c r="A1071" s="40" t="n"/>
      <c r="B1071" s="40" t="inlineStr">
        <is>
          <t>Outras</t>
        </is>
      </c>
      <c r="D1071" s="67" t="inlineStr">
        <is>
          <t>Renata Francisco Becker</t>
        </is>
      </c>
      <c r="E1071" s="62" t="n">
        <v>45793</v>
      </c>
      <c r="I1071" s="67" t="inlineStr"/>
      <c r="J1071" s="67" t="inlineStr">
        <is>
          <t>Tarefa</t>
        </is>
      </c>
      <c r="K1071" s="62" t="n">
        <v>46064</v>
      </c>
      <c r="L1071" s="67" t="inlineStr">
        <is>
          <t>Renata Francisco Becker</t>
        </is>
      </c>
      <c r="M1071" s="40" t="inlineStr">
        <is>
          <t>Cumprido</t>
        </is>
      </c>
      <c r="N1071" s="62" t="n">
        <v>46064</v>
      </c>
      <c r="O1071" s="67" t="inlineStr">
        <is>
          <t>Finalização</t>
        </is>
      </c>
    </row>
    <row r="1072">
      <c r="A1072" s="40" t="inlineStr">
        <is>
          <t>50032031220244047204</t>
        </is>
      </c>
      <c r="B1072" s="40" t="inlineStr">
        <is>
          <t>Outras</t>
        </is>
      </c>
      <c r="D1072" s="67" t="inlineStr">
        <is>
          <t>Renata Francisco Becker</t>
        </is>
      </c>
      <c r="E1072" s="62" t="n">
        <v>45443</v>
      </c>
      <c r="F1072" s="67" t="inlineStr"/>
      <c r="I1072" s="67" t="inlineStr"/>
      <c r="J1072" s="67" t="inlineStr">
        <is>
          <t>Tarefa</t>
        </is>
      </c>
      <c r="K1072" s="62" t="n">
        <v>46064</v>
      </c>
      <c r="L1072" s="67" t="inlineStr">
        <is>
          <t>Julia</t>
        </is>
      </c>
      <c r="M1072" s="40" t="inlineStr">
        <is>
          <t>Cumprido</t>
        </is>
      </c>
      <c r="N1072" s="62" t="n">
        <v>46064</v>
      </c>
      <c r="O1072" s="67" t="inlineStr">
        <is>
          <t>Finalização</t>
        </is>
      </c>
    </row>
    <row r="1073">
      <c r="A1073" s="40" t="inlineStr">
        <is>
          <t>0000753-70.2019.5.12.0053</t>
        </is>
      </c>
      <c r="B1073" s="40" t="inlineStr">
        <is>
          <t>Outras</t>
        </is>
      </c>
      <c r="D1073" s="67" t="inlineStr">
        <is>
          <t>Renata Francisco Becker</t>
        </is>
      </c>
      <c r="E1073" s="62" t="n">
        <v>45772</v>
      </c>
      <c r="F1073" s="67" t="inlineStr">
        <is>
          <t>3ª VARA DO TRABALHO DE CRICIÚMA</t>
        </is>
      </c>
      <c r="I1073" s="67" t="inlineStr"/>
      <c r="J1073" s="67" t="inlineStr">
        <is>
          <t>Tarefa</t>
        </is>
      </c>
      <c r="K1073" s="62" t="n">
        <v>46064</v>
      </c>
      <c r="L1073" s="67" t="inlineStr">
        <is>
          <t>Jessica</t>
        </is>
      </c>
      <c r="M1073" s="40" t="inlineStr">
        <is>
          <t>Cumprido</t>
        </is>
      </c>
      <c r="N1073" s="62" t="n">
        <v>46064</v>
      </c>
      <c r="O1073" s="67" t="inlineStr">
        <is>
          <t>Finalização</t>
        </is>
      </c>
    </row>
    <row r="1074">
      <c r="A1074" s="40" t="inlineStr">
        <is>
          <t>50009468020258240028</t>
        </is>
      </c>
      <c r="B1074" s="40" t="inlineStr">
        <is>
          <t>Outras</t>
        </is>
      </c>
      <c r="D1074" s="67" t="inlineStr">
        <is>
          <t>Renata Francisco Becker</t>
        </is>
      </c>
      <c r="E1074" s="62" t="n">
        <v>45714</v>
      </c>
      <c r="F1074" s="67" t="inlineStr"/>
      <c r="I1074" s="67" t="inlineStr">
        <is>
          <t>50095214320218240020</t>
        </is>
      </c>
      <c r="J1074" s="67" t="inlineStr">
        <is>
          <t>Tarefa</t>
        </is>
      </c>
      <c r="K1074" s="62" t="n">
        <v>46064</v>
      </c>
      <c r="L1074" s="67" t="inlineStr">
        <is>
          <t>Jessica</t>
        </is>
      </c>
      <c r="M1074" s="40" t="inlineStr">
        <is>
          <t>Cumprido</t>
        </is>
      </c>
      <c r="N1074" s="62" t="n">
        <v>46064</v>
      </c>
      <c r="O1074" s="67" t="inlineStr">
        <is>
          <t>Prazo - emissão de guia</t>
        </is>
      </c>
    </row>
    <row r="1075">
      <c r="A1075" s="40" t="n"/>
      <c r="B1075" s="40" t="inlineStr">
        <is>
          <t>Outras</t>
        </is>
      </c>
      <c r="D1075" s="67" t="inlineStr">
        <is>
          <t>Pedro Victor</t>
        </is>
      </c>
      <c r="E1075" s="62" t="n">
        <v>45713</v>
      </c>
      <c r="I1075" s="67" t="inlineStr">
        <is>
          <t>5063316-82.2025.8.24.0000</t>
        </is>
      </c>
      <c r="J1075" s="67" t="inlineStr">
        <is>
          <t>Tarefa</t>
        </is>
      </c>
      <c r="K1075" s="62" t="n">
        <v>46064</v>
      </c>
      <c r="L1075" s="67" t="inlineStr">
        <is>
          <t>Jessica</t>
        </is>
      </c>
      <c r="M1075" s="40" t="inlineStr">
        <is>
          <t>Cumprido</t>
        </is>
      </c>
      <c r="N1075" s="62" t="n">
        <v>46064</v>
      </c>
      <c r="O1075" s="67" t="inlineStr">
        <is>
          <t>Protocolo</t>
        </is>
      </c>
    </row>
    <row r="1076">
      <c r="A1076" s="40" t="inlineStr">
        <is>
          <t>5006883-15.2018.4.04.7204</t>
        </is>
      </c>
      <c r="B1076" s="40" t="inlineStr">
        <is>
          <t>Outras</t>
        </is>
      </c>
      <c r="D1076" s="67" t="inlineStr">
        <is>
          <t>Renata Francisco Becker</t>
        </is>
      </c>
      <c r="E1076" s="62" t="n">
        <v>44719</v>
      </c>
      <c r="F1076" s="67" t="inlineStr">
        <is>
          <t>Juízo Federal da 4ª VF de Criciúma</t>
        </is>
      </c>
      <c r="I1076" s="67" t="inlineStr">
        <is>
          <t>1006376-44.2021.8.26.0003</t>
        </is>
      </c>
      <c r="J1076" s="67" t="inlineStr">
        <is>
          <t>Tarefa</t>
        </is>
      </c>
      <c r="K1076" s="62" t="n">
        <v>46064</v>
      </c>
      <c r="L1076" s="67" t="inlineStr">
        <is>
          <t>Julia</t>
        </is>
      </c>
      <c r="M1076" s="40" t="inlineStr">
        <is>
          <t>Cumprido</t>
        </is>
      </c>
      <c r="N1076" s="62" t="n">
        <v>46064</v>
      </c>
      <c r="O1076" s="67" t="inlineStr">
        <is>
          <t>Protocolo</t>
        </is>
      </c>
    </row>
    <row r="1077">
      <c r="A1077" s="40" t="inlineStr">
        <is>
          <t>5012260-30.2019.4.04.7204</t>
        </is>
      </c>
      <c r="B1077" s="40" t="inlineStr">
        <is>
          <t>Outras</t>
        </is>
      </c>
      <c r="D1077" s="67" t="inlineStr">
        <is>
          <t>Renata Francisco Becker</t>
        </is>
      </c>
      <c r="E1077" s="62" t="n">
        <v>44748</v>
      </c>
      <c r="F1077" s="67" t="inlineStr">
        <is>
          <t>Juízo Substituto da 4ª VF de Criciúma</t>
        </is>
      </c>
      <c r="I1077" s="67" t="inlineStr">
        <is>
          <t>0000160-12.2025.5.12.0027</t>
        </is>
      </c>
      <c r="J1077" s="67" t="inlineStr">
        <is>
          <t>Tarefa</t>
        </is>
      </c>
      <c r="K1077" s="62" t="n">
        <v>46064</v>
      </c>
      <c r="L1077" s="67" t="inlineStr">
        <is>
          <t>Luci</t>
        </is>
      </c>
      <c r="M1077" s="40" t="inlineStr">
        <is>
          <t>Cumprido</t>
        </is>
      </c>
      <c r="N1077" s="62" t="n">
        <v>46064</v>
      </c>
      <c r="O1077" s="67" t="inlineStr">
        <is>
          <t>Protocolo</t>
        </is>
      </c>
    </row>
    <row r="1078">
      <c r="A1078" s="40" t="inlineStr">
        <is>
          <t>5005939-13.2018.4.04.7204</t>
        </is>
      </c>
      <c r="B1078" s="40" t="inlineStr">
        <is>
          <t>Outras</t>
        </is>
      </c>
      <c r="D1078" s="67" t="inlineStr">
        <is>
          <t>Renata Francisco Becker</t>
        </is>
      </c>
      <c r="E1078" s="62" t="n">
        <v>44719</v>
      </c>
      <c r="F1078" s="67" t="inlineStr">
        <is>
          <t>Juízo Federal da 4ª VF de Criciúma</t>
        </is>
      </c>
      <c r="I1078" s="67" t="inlineStr"/>
      <c r="J1078" s="67" t="inlineStr">
        <is>
          <t>Tarefa</t>
        </is>
      </c>
      <c r="K1078" s="62" t="n">
        <v>46064</v>
      </c>
      <c r="L1078" s="67" t="inlineStr">
        <is>
          <t xml:space="preserve">Lucas </t>
        </is>
      </c>
      <c r="M1078" s="40" t="inlineStr">
        <is>
          <t>Cumprido</t>
        </is>
      </c>
      <c r="N1078" s="62" t="n">
        <v>46064</v>
      </c>
      <c r="O1078" s="67" t="inlineStr">
        <is>
          <t xml:space="preserve">Protocolo da petição </t>
        </is>
      </c>
    </row>
    <row r="1079">
      <c r="A1079" s="40" t="inlineStr">
        <is>
          <t>5010040-39.2025.8.24.0000</t>
        </is>
      </c>
      <c r="B1079" s="40" t="inlineStr">
        <is>
          <t>Outras</t>
        </is>
      </c>
      <c r="D1079" s="67" t="inlineStr">
        <is>
          <t>Renata Francisco Becker</t>
        </is>
      </c>
      <c r="E1079" s="62" t="n">
        <v>45707</v>
      </c>
      <c r="F1079" s="67" t="inlineStr"/>
      <c r="I1079" s="67" t="inlineStr">
        <is>
          <t>0001478-43.2025.5.12.0055</t>
        </is>
      </c>
      <c r="J1079" s="67" t="inlineStr">
        <is>
          <t>Tarefa</t>
        </is>
      </c>
      <c r="K1079" s="62" t="n">
        <v>46064</v>
      </c>
      <c r="L1079" s="67" t="inlineStr">
        <is>
          <t>Renata Francisco Becker</t>
        </is>
      </c>
      <c r="M1079" s="40" t="inlineStr">
        <is>
          <t>Cumprido</t>
        </is>
      </c>
      <c r="N1079" s="62" t="n">
        <v>46064</v>
      </c>
      <c r="O1079" s="67" t="inlineStr">
        <is>
          <t>Revisão</t>
        </is>
      </c>
    </row>
    <row r="1080">
      <c r="A1080" s="40" t="inlineStr">
        <is>
          <t>5003380-29.2025.8.24.0000</t>
        </is>
      </c>
      <c r="B1080" s="40" t="inlineStr">
        <is>
          <t>Outras</t>
        </is>
      </c>
      <c r="D1080" s="67" t="inlineStr">
        <is>
          <t>Renata Francisco Becker</t>
        </is>
      </c>
      <c r="E1080" s="62" t="n">
        <v>45786</v>
      </c>
      <c r="F1080" s="67" t="inlineStr"/>
      <c r="I1080" s="67" t="inlineStr"/>
      <c r="J1080" s="67" t="inlineStr">
        <is>
          <t>Tarefa</t>
        </is>
      </c>
      <c r="K1080" s="62" t="n">
        <v>46064</v>
      </c>
      <c r="L1080" s="67" t="inlineStr">
        <is>
          <t>Renata Francisco Becker</t>
        </is>
      </c>
      <c r="M1080" s="40" t="inlineStr">
        <is>
          <t>Cumprido</t>
        </is>
      </c>
      <c r="N1080" s="62" t="n">
        <v>46064</v>
      </c>
      <c r="O1080" s="67" t="inlineStr">
        <is>
          <t>Revisão</t>
        </is>
      </c>
    </row>
    <row r="1081">
      <c r="A1081" s="40" t="n"/>
      <c r="B1081" s="40" t="inlineStr">
        <is>
          <t>Outras</t>
        </is>
      </c>
      <c r="D1081" s="67" t="inlineStr">
        <is>
          <t>Renata Francisco Becker</t>
        </is>
      </c>
      <c r="E1081" s="62" t="n">
        <v>45709</v>
      </c>
      <c r="I1081" s="67" t="inlineStr"/>
      <c r="J1081" s="67" t="inlineStr">
        <is>
          <t>Tarefa</t>
        </is>
      </c>
      <c r="K1081" s="62" t="n">
        <v>46064</v>
      </c>
      <c r="L1081" s="67" t="inlineStr">
        <is>
          <t>Renata Francisco Becker</t>
        </is>
      </c>
      <c r="M1081" s="40" t="inlineStr">
        <is>
          <t>Cumprido</t>
        </is>
      </c>
      <c r="N1081" s="62" t="n">
        <v>46064</v>
      </c>
      <c r="O1081" s="67" t="inlineStr">
        <is>
          <t>Revisão</t>
        </is>
      </c>
    </row>
    <row r="1082">
      <c r="A1082" s="40" t="n"/>
      <c r="B1082" s="40" t="inlineStr">
        <is>
          <t>Outras</t>
        </is>
      </c>
      <c r="D1082" s="67" t="inlineStr">
        <is>
          <t>Pedro Victor</t>
        </is>
      </c>
      <c r="E1082" s="62" t="n">
        <v>45562</v>
      </c>
      <c r="F1082" s="67" t="inlineStr"/>
      <c r="I1082" s="67" t="inlineStr"/>
      <c r="J1082" s="67" t="inlineStr">
        <is>
          <t>Tarefa</t>
        </is>
      </c>
      <c r="K1082" s="62" t="n">
        <v>46064</v>
      </c>
      <c r="L1082" s="67" t="inlineStr">
        <is>
          <t>Jessica</t>
        </is>
      </c>
      <c r="M1082" s="40" t="inlineStr">
        <is>
          <t>Cumprido</t>
        </is>
      </c>
      <c r="N1082" s="62" t="n">
        <v>46064</v>
      </c>
      <c r="O1082" s="67" t="inlineStr">
        <is>
          <t>Revisão</t>
        </is>
      </c>
    </row>
    <row r="1083">
      <c r="A1083" s="40" t="n"/>
      <c r="B1083" s="40" t="inlineStr">
        <is>
          <t>Outras</t>
        </is>
      </c>
      <c r="D1083" s="67" t="inlineStr">
        <is>
          <t>Luci</t>
        </is>
      </c>
      <c r="E1083" s="62" t="n">
        <v>45783</v>
      </c>
      <c r="I1083" s="67" t="inlineStr"/>
      <c r="J1083" s="67" t="inlineStr">
        <is>
          <t>Tarefa</t>
        </is>
      </c>
      <c r="K1083" s="62" t="n">
        <v>46064</v>
      </c>
      <c r="L1083" s="67" t="inlineStr">
        <is>
          <t>Marelize Controladoria</t>
        </is>
      </c>
      <c r="M1083" s="40" t="inlineStr">
        <is>
          <t>Cumprido</t>
        </is>
      </c>
      <c r="N1083" s="62" t="n">
        <v>46064</v>
      </c>
      <c r="O1083" s="67" t="inlineStr">
        <is>
          <t>Verificar 2 etapa analise geral do cliente</t>
        </is>
      </c>
    </row>
    <row r="1084">
      <c r="A1084" s="40" t="inlineStr">
        <is>
          <t>5006313-53.2023.4.04.7204</t>
        </is>
      </c>
      <c r="B1084" s="40" t="inlineStr">
        <is>
          <t>Outras</t>
        </is>
      </c>
      <c r="D1084" s="67" t="inlineStr">
        <is>
          <t>Renata Francisco Becker</t>
        </is>
      </c>
      <c r="E1084" s="62" t="n">
        <v>45314</v>
      </c>
      <c r="F1084" s="67" t="inlineStr"/>
      <c r="I1084" s="67" t="inlineStr"/>
      <c r="J1084" s="67" t="inlineStr">
        <is>
          <t>Evento</t>
        </is>
      </c>
      <c r="K1084" s="62" t="n">
        <v>46064</v>
      </c>
      <c r="L1084" s="67" t="inlineStr">
        <is>
          <t>Pedro Victor</t>
        </is>
      </c>
      <c r="M1084" s="40" t="inlineStr">
        <is>
          <t>Cumprido</t>
        </is>
      </c>
      <c r="N1084" s="62" t="n">
        <v>46064</v>
      </c>
      <c r="O1084" s="67" t="inlineStr">
        <is>
          <t>Reunião Tec Power</t>
        </is>
      </c>
    </row>
    <row r="1085">
      <c r="A1085" s="40" t="inlineStr">
        <is>
          <t>50090907420244047204</t>
        </is>
      </c>
      <c r="B1085" s="40" t="inlineStr">
        <is>
          <t>Outras</t>
        </is>
      </c>
      <c r="D1085" s="67" t="inlineStr">
        <is>
          <t>Renata Francisco Becker</t>
        </is>
      </c>
      <c r="E1085" s="62" t="n">
        <v>45628</v>
      </c>
      <c r="F1085" s="67" t="inlineStr"/>
      <c r="I1085" s="67" t="inlineStr">
        <is>
          <t>0001610-62.2025.5.12.0003</t>
        </is>
      </c>
      <c r="J1085" s="67" t="inlineStr">
        <is>
          <t>Audiência</t>
        </is>
      </c>
      <c r="K1085" s="62" t="n">
        <v>46064</v>
      </c>
      <c r="L1085" s="67" t="inlineStr">
        <is>
          <t>Luci</t>
        </is>
      </c>
      <c r="M1085" s="40" t="inlineStr">
        <is>
          <t>Cumprido</t>
        </is>
      </c>
      <c r="N1085" s="62" t="n">
        <v>46064</v>
      </c>
      <c r="O1085" s="67" t="inlineStr">
        <is>
          <t>AUDIENCIA DE HOMOLOGAÇÃO DE ACORDO - FF PNEUMATICOS EIRELI - ME X RAIKAR JOHN ROCHA</t>
        </is>
      </c>
    </row>
    <row r="1086">
      <c r="A1086" s="40" t="inlineStr">
        <is>
          <t>00006912020185120003</t>
        </is>
      </c>
      <c r="B1086" s="40" t="inlineStr">
        <is>
          <t>Outras</t>
        </is>
      </c>
      <c r="D1086" s="67" t="inlineStr">
        <is>
          <t>Pedro Victor</t>
        </is>
      </c>
      <c r="E1086" s="62" t="n">
        <v>45463</v>
      </c>
      <c r="F1086" s="67" t="inlineStr"/>
      <c r="I1086" s="67" t="inlineStr"/>
      <c r="J1086" s="67" t="inlineStr">
        <is>
          <t>Evento</t>
        </is>
      </c>
      <c r="K1086" s="62" t="n">
        <v>46064</v>
      </c>
      <c r="L1086" s="67" t="inlineStr">
        <is>
          <t>Renata Francisco Becker</t>
        </is>
      </c>
      <c r="M1086" s="40" t="inlineStr">
        <is>
          <t>Cumprido</t>
        </is>
      </c>
      <c r="N1086" s="62" t="n">
        <v>46064</v>
      </c>
      <c r="O1086" s="67" t="inlineStr">
        <is>
          <t xml:space="preserve">Reunião de alinhamento Karia </t>
        </is>
      </c>
    </row>
    <row r="1087">
      <c r="A1087" s="40" t="n"/>
      <c r="B1087" s="40" t="inlineStr">
        <is>
          <t>Outras</t>
        </is>
      </c>
      <c r="D1087" s="67" t="inlineStr">
        <is>
          <t>Renata Francisco Becker</t>
        </is>
      </c>
      <c r="E1087" s="62" t="n">
        <v>45743</v>
      </c>
      <c r="I1087" s="67" t="inlineStr"/>
      <c r="J1087" s="67" t="inlineStr">
        <is>
          <t>Prazo</t>
        </is>
      </c>
      <c r="K1087" s="62" t="n">
        <v>46065</v>
      </c>
      <c r="L1087" s="67" t="inlineStr">
        <is>
          <t xml:space="preserve">Lucas </t>
        </is>
      </c>
      <c r="M1087" s="40" t="inlineStr">
        <is>
          <t>Cumprido</t>
        </is>
      </c>
      <c r="N1087" s="62" t="n">
        <v>46065</v>
      </c>
      <c r="O1087" s="67" t="inlineStr">
        <is>
          <t xml:space="preserve">Ajustar a planilha de todas as auditorias </t>
        </is>
      </c>
    </row>
    <row r="1088">
      <c r="A1088" s="40" t="inlineStr">
        <is>
          <t>00006912020185120003</t>
        </is>
      </c>
      <c r="B1088" s="40" t="inlineStr">
        <is>
          <t>Outras</t>
        </is>
      </c>
      <c r="D1088" s="67" t="inlineStr">
        <is>
          <t>Pedro Victor</t>
        </is>
      </c>
      <c r="E1088" s="62" t="n">
        <v>45463</v>
      </c>
      <c r="F1088" s="67" t="inlineStr">
        <is>
          <t>1ª VARA DO TRABALHO DE CRICIÚMA</t>
        </is>
      </c>
      <c r="I1088" s="67" t="inlineStr"/>
      <c r="J1088" s="67" t="inlineStr">
        <is>
          <t>Prazo</t>
        </is>
      </c>
      <c r="K1088" s="62" t="n">
        <v>46065</v>
      </c>
      <c r="L1088" s="67" t="inlineStr">
        <is>
          <t>Pedro Victor</t>
        </is>
      </c>
      <c r="M1088" s="40" t="inlineStr">
        <is>
          <t>Cumprido</t>
        </is>
      </c>
      <c r="N1088" s="62" t="n">
        <v>46065</v>
      </c>
      <c r="O1088" s="67" t="inlineStr">
        <is>
          <t>Analise de Vício de Produto (Caminhão) - Zampier</t>
        </is>
      </c>
    </row>
    <row r="1089">
      <c r="A1089" s="40" t="inlineStr">
        <is>
          <t>00004633220138240166</t>
        </is>
      </c>
      <c r="B1089" s="40" t="inlineStr">
        <is>
          <t>Outras</t>
        </is>
      </c>
      <c r="D1089" s="67" t="inlineStr">
        <is>
          <t>Pedro Victor</t>
        </is>
      </c>
      <c r="E1089" s="62" t="n">
        <v>44776</v>
      </c>
      <c r="F1089" s="67" t="inlineStr">
        <is>
          <t>Juízo da Vara Única da Comarca de Forquilhinha</t>
        </is>
      </c>
      <c r="I1089" s="67" t="inlineStr">
        <is>
          <t>0900606-70.2018.8.24.0020</t>
        </is>
      </c>
      <c r="J1089" s="67" t="inlineStr">
        <is>
          <t>Prazo</t>
        </is>
      </c>
      <c r="K1089" s="62" t="n">
        <v>46065</v>
      </c>
      <c r="L1089" s="67" t="inlineStr">
        <is>
          <t>Jessica</t>
        </is>
      </c>
      <c r="M1089" s="40" t="inlineStr">
        <is>
          <t>Cumprido</t>
        </is>
      </c>
      <c r="N1089" s="62" t="n">
        <v>46065</v>
      </c>
      <c r="O1089" s="67" t="inlineStr">
        <is>
          <t>Baixa de averbação da mat 33563 Colonetti</t>
        </is>
      </c>
    </row>
    <row r="1090">
      <c r="A1090" s="40" t="inlineStr">
        <is>
          <t>5012245-61.2019.4.04.7204</t>
        </is>
      </c>
      <c r="B1090" s="40" t="inlineStr">
        <is>
          <t>Outras</t>
        </is>
      </c>
      <c r="D1090" s="67" t="inlineStr">
        <is>
          <t>Renata Francisco Becker</t>
        </is>
      </c>
      <c r="E1090" s="62" t="n">
        <v>44719</v>
      </c>
      <c r="F1090" s="67" t="inlineStr">
        <is>
          <t>Juízo Federal da 4ª VF de Criciúma</t>
        </is>
      </c>
      <c r="I1090" s="67" t="inlineStr"/>
      <c r="J1090" s="67" t="inlineStr">
        <is>
          <t>Prazo</t>
        </is>
      </c>
      <c r="K1090" s="62" t="n">
        <v>46065</v>
      </c>
      <c r="L1090" s="67" t="inlineStr">
        <is>
          <t>Marelize Controladoria</t>
        </is>
      </c>
      <c r="M1090" s="40" t="inlineStr">
        <is>
          <t>Cumprido</t>
        </is>
      </c>
      <c r="N1090" s="62" t="n">
        <v>46065</v>
      </c>
      <c r="O1090" s="67" t="inlineStr">
        <is>
          <t>DISTRIBUIR - Demanda colonetti</t>
        </is>
      </c>
    </row>
    <row r="1091">
      <c r="A1091" s="40" t="inlineStr">
        <is>
          <t>5006079-47.2018.4.04.7204</t>
        </is>
      </c>
      <c r="B1091" s="40" t="inlineStr">
        <is>
          <t>Outras</t>
        </is>
      </c>
      <c r="D1091" s="67" t="inlineStr">
        <is>
          <t>Renata Francisco Becker</t>
        </is>
      </c>
      <c r="E1091" s="62" t="n">
        <v>44719</v>
      </c>
      <c r="F1091" s="67" t="inlineStr">
        <is>
          <t>Juízo Federal da 4ª VF de Criciúma</t>
        </is>
      </c>
      <c r="I1091" s="67" t="inlineStr"/>
      <c r="J1091" s="67" t="inlineStr">
        <is>
          <t>Prazo</t>
        </is>
      </c>
      <c r="K1091" s="62" t="n">
        <v>46065</v>
      </c>
      <c r="L1091" s="67" t="inlineStr">
        <is>
          <t xml:space="preserve">Lucas </t>
        </is>
      </c>
      <c r="M1091" s="40" t="inlineStr">
        <is>
          <t>Cumprido</t>
        </is>
      </c>
      <c r="N1091" s="62" t="n">
        <v>46065</v>
      </c>
      <c r="O1091" s="67" t="inlineStr">
        <is>
          <t>Elaborar documento de premiação Trasdag</t>
        </is>
      </c>
    </row>
    <row r="1092">
      <c r="A1092" s="40" t="inlineStr">
        <is>
          <t>0301194-76.2018.8.24.0166</t>
        </is>
      </c>
      <c r="B1092" s="40" t="inlineStr">
        <is>
          <t>Outras</t>
        </is>
      </c>
      <c r="D1092" s="67" t="inlineStr">
        <is>
          <t>Pedro Victor</t>
        </is>
      </c>
      <c r="E1092" s="62" t="n">
        <v>45636</v>
      </c>
      <c r="F1092" s="67" t="inlineStr">
        <is>
          <t>Juízo da 2ª Vara da Fazenda Pública da Comarca de Criciúma</t>
        </is>
      </c>
      <c r="I1092" s="67" t="inlineStr">
        <is>
          <t>0101784-10.2025.8.24.0710</t>
        </is>
      </c>
      <c r="J1092" s="67" t="inlineStr">
        <is>
          <t>Prazo</t>
        </is>
      </c>
      <c r="K1092" s="62" t="n">
        <v>46065</v>
      </c>
      <c r="L1092" s="67" t="inlineStr">
        <is>
          <t>Luci</t>
        </is>
      </c>
      <c r="M1092" s="40" t="inlineStr">
        <is>
          <t>Cumprido</t>
        </is>
      </c>
      <c r="N1092" s="62" t="n">
        <v>46065</v>
      </c>
      <c r="O1092" s="67" t="inlineStr">
        <is>
          <t>Prazo</t>
        </is>
      </c>
    </row>
    <row r="1093">
      <c r="A1093" s="40" t="inlineStr">
        <is>
          <t>5012170-22.2019.4.04.7204</t>
        </is>
      </c>
      <c r="B1093" s="40" t="inlineStr">
        <is>
          <t>Outras</t>
        </is>
      </c>
      <c r="D1093" s="67" t="inlineStr">
        <is>
          <t>Renata Francisco Becker</t>
        </is>
      </c>
      <c r="E1093" s="62" t="n">
        <v>44942</v>
      </c>
      <c r="F1093" s="67" t="inlineStr">
        <is>
          <t>Juízo Substituto da 4ª VF de Criciúma</t>
        </is>
      </c>
      <c r="I1093" s="67" t="inlineStr">
        <is>
          <t>5003206-41.2024.8.24.0166</t>
        </is>
      </c>
      <c r="J1093" s="67" t="inlineStr">
        <is>
          <t>Prazo</t>
        </is>
      </c>
      <c r="K1093" s="62" t="n">
        <v>46065</v>
      </c>
      <c r="L1093" s="67" t="inlineStr">
        <is>
          <t xml:space="preserve">Alexia </t>
        </is>
      </c>
      <c r="M1093" s="40" t="inlineStr">
        <is>
          <t>Cumprido</t>
        </is>
      </c>
      <c r="N1093" s="62" t="n">
        <v>46065</v>
      </c>
      <c r="O1093" s="67" t="inlineStr">
        <is>
          <t>Prazo</t>
        </is>
      </c>
    </row>
    <row r="1094">
      <c r="A1094" s="40" t="inlineStr">
        <is>
          <t>5005944-35.2018.4.04.7204</t>
        </is>
      </c>
      <c r="B1094" s="40" t="inlineStr">
        <is>
          <t>Outras</t>
        </is>
      </c>
      <c r="D1094" s="67" t="inlineStr">
        <is>
          <t>Renata Francisco Becker</t>
        </is>
      </c>
      <c r="E1094" s="62" t="n">
        <v>44741</v>
      </c>
      <c r="F1094" s="67" t="inlineStr">
        <is>
          <t>Juízo Substituto da 4ª VF de Criciúma</t>
        </is>
      </c>
      <c r="I1094" s="67" t="inlineStr">
        <is>
          <t>5020238-75.2025.8.24.0020</t>
        </is>
      </c>
      <c r="J1094" s="67" t="inlineStr">
        <is>
          <t>Prazo</t>
        </is>
      </c>
      <c r="K1094" s="62" t="n">
        <v>46065</v>
      </c>
      <c r="L1094" s="67" t="inlineStr">
        <is>
          <t xml:space="preserve">Alexia </t>
        </is>
      </c>
      <c r="M1094" s="40" t="inlineStr">
        <is>
          <t>Cumprido</t>
        </is>
      </c>
      <c r="N1094" s="62" t="n">
        <v>46065</v>
      </c>
      <c r="O1094" s="67" t="inlineStr">
        <is>
          <t>Prazo</t>
        </is>
      </c>
    </row>
    <row r="1095">
      <c r="A1095" s="40" t="inlineStr">
        <is>
          <t>5012602-75.2018.4.04.7204</t>
        </is>
      </c>
      <c r="B1095" s="40" t="inlineStr">
        <is>
          <t>Outras</t>
        </is>
      </c>
      <c r="D1095" s="67" t="inlineStr">
        <is>
          <t>Renata Francisco Becker</t>
        </is>
      </c>
      <c r="E1095" s="62" t="n">
        <v>44741</v>
      </c>
      <c r="F1095" s="67" t="inlineStr">
        <is>
          <t>Juízo Substituto da 4ª VF de Criciúma</t>
        </is>
      </c>
      <c r="I1095" s="67" t="inlineStr">
        <is>
          <t>5007226-28.2024.8.24.0020</t>
        </is>
      </c>
      <c r="J1095" s="67" t="inlineStr">
        <is>
          <t>Prazo</t>
        </is>
      </c>
      <c r="K1095" s="62" t="n">
        <v>46065</v>
      </c>
      <c r="L1095" s="67" t="inlineStr">
        <is>
          <t xml:space="preserve">Alexia </t>
        </is>
      </c>
      <c r="M1095" s="40" t="inlineStr">
        <is>
          <t>Cumprido</t>
        </is>
      </c>
      <c r="N1095" s="62" t="n">
        <v>46065</v>
      </c>
      <c r="O1095" s="67" t="inlineStr">
        <is>
          <t>Prazo</t>
        </is>
      </c>
    </row>
    <row r="1096">
      <c r="A1096" s="40" t="inlineStr">
        <is>
          <t>5005936-58.2018.4.04.7204</t>
        </is>
      </c>
      <c r="B1096" s="40" t="inlineStr">
        <is>
          <t>Outras</t>
        </is>
      </c>
      <c r="D1096" s="67" t="inlineStr">
        <is>
          <t>Renata Francisco Becker</t>
        </is>
      </c>
      <c r="E1096" s="62" t="n">
        <v>44719</v>
      </c>
      <c r="F1096" s="67" t="inlineStr">
        <is>
          <t>Juízo Federal da 4ª VF de Criciúma</t>
        </is>
      </c>
      <c r="I1096" s="67" t="inlineStr">
        <is>
          <t>5012554-02.2025.8.24.0020</t>
        </is>
      </c>
      <c r="J1096" s="67" t="inlineStr">
        <is>
          <t>Prazo</t>
        </is>
      </c>
      <c r="K1096" s="62" t="n">
        <v>46065</v>
      </c>
      <c r="L1096" s="67" t="inlineStr">
        <is>
          <t xml:space="preserve">Alexia </t>
        </is>
      </c>
      <c r="M1096" s="40" t="inlineStr">
        <is>
          <t>Cumprido</t>
        </is>
      </c>
      <c r="N1096" s="62" t="n">
        <v>46065</v>
      </c>
      <c r="O1096" s="67" t="inlineStr">
        <is>
          <t>Prazo -ciencia e intima test</t>
        </is>
      </c>
    </row>
    <row r="1097">
      <c r="A1097" s="40" t="inlineStr">
        <is>
          <t>5009275-11.2020.8.24.0011</t>
        </is>
      </c>
      <c r="B1097" s="40" t="inlineStr">
        <is>
          <t>Outras</t>
        </is>
      </c>
      <c r="D1097" s="67" t="inlineStr">
        <is>
          <t>Renata Francisco Becker</t>
        </is>
      </c>
      <c r="E1097" s="62" t="n">
        <v>45243</v>
      </c>
      <c r="F1097" s="67" t="inlineStr">
        <is>
          <t>Juízo da 2ª Vara Cível da Comarca de Brusque</t>
        </is>
      </c>
      <c r="I1097" s="67" t="inlineStr">
        <is>
          <t>5010250-30.2025.8.24.0020</t>
        </is>
      </c>
      <c r="J1097" s="67" t="inlineStr">
        <is>
          <t>Prazo</t>
        </is>
      </c>
      <c r="K1097" s="62" t="n">
        <v>46065</v>
      </c>
      <c r="L1097" s="67" t="inlineStr">
        <is>
          <t xml:space="preserve">Alexia </t>
        </is>
      </c>
      <c r="M1097" s="40" t="inlineStr">
        <is>
          <t>Cumprido</t>
        </is>
      </c>
      <c r="N1097" s="62" t="n">
        <v>46065</v>
      </c>
      <c r="O1097" s="67" t="inlineStr">
        <is>
          <t>Prazo - Ciencia e intimação tes</t>
        </is>
      </c>
    </row>
    <row r="1098">
      <c r="A1098" s="40" t="inlineStr">
        <is>
          <t>5024145-92.2024.8.24.0020</t>
        </is>
      </c>
      <c r="B1098" s="40" t="inlineStr">
        <is>
          <t>Outras</t>
        </is>
      </c>
      <c r="D1098" s="67" t="inlineStr">
        <is>
          <t>Renata Francisco Becker</t>
        </is>
      </c>
      <c r="E1098" s="62" t="n">
        <v>45737</v>
      </c>
      <c r="F1098" s="67" t="inlineStr">
        <is>
          <t>Juízo do Juizado Especial Cível</t>
        </is>
      </c>
      <c r="I1098" s="67" t="inlineStr"/>
      <c r="J1098" s="67" t="inlineStr">
        <is>
          <t>Prazo</t>
        </is>
      </c>
      <c r="K1098" s="62" t="n">
        <v>46065</v>
      </c>
      <c r="L1098" s="67" t="inlineStr">
        <is>
          <t>Marelize Controladoria</t>
        </is>
      </c>
      <c r="M1098" s="40" t="inlineStr">
        <is>
          <t>Cumprido</t>
        </is>
      </c>
      <c r="N1098" s="62" t="n">
        <v>46065</v>
      </c>
      <c r="O1098" s="67" t="inlineStr">
        <is>
          <t>Procedimento interno para cadastro de nova empresa Lídia Turismo</t>
        </is>
      </c>
    </row>
    <row r="1099">
      <c r="A1099" s="40" t="inlineStr">
        <is>
          <t>00006279720245120003</t>
        </is>
      </c>
      <c r="B1099" s="40" t="inlineStr">
        <is>
          <t>Outras</t>
        </is>
      </c>
      <c r="D1099" s="67" t="inlineStr">
        <is>
          <t>Pedro Victor</t>
        </is>
      </c>
      <c r="E1099" s="62" t="n">
        <v>45393</v>
      </c>
      <c r="F1099" s="67" t="inlineStr"/>
      <c r="I1099" s="67" t="inlineStr">
        <is>
          <t>03031132420168240020</t>
        </is>
      </c>
      <c r="J1099" s="67" t="inlineStr">
        <is>
          <t>Tarefa</t>
        </is>
      </c>
      <c r="K1099" s="62" t="n">
        <v>46065</v>
      </c>
      <c r="L1099" s="67" t="inlineStr">
        <is>
          <t xml:space="preserve">Alexia </t>
        </is>
      </c>
      <c r="M1099" s="40" t="inlineStr">
        <is>
          <t>Cumprido</t>
        </is>
      </c>
      <c r="N1099" s="62" t="n">
        <v>46065</v>
      </c>
      <c r="O1099" s="67" t="inlineStr">
        <is>
          <t xml:space="preserve">Protocolo </t>
        </is>
      </c>
    </row>
    <row r="1100">
      <c r="A1100" s="40" t="n"/>
      <c r="B1100" s="40" t="inlineStr">
        <is>
          <t>Outras</t>
        </is>
      </c>
      <c r="D1100" s="67" t="inlineStr">
        <is>
          <t xml:space="preserve">Lucas </t>
        </is>
      </c>
      <c r="E1100" s="62" t="n">
        <v>45757</v>
      </c>
      <c r="I1100" s="67" t="inlineStr"/>
      <c r="J1100" s="67" t="inlineStr">
        <is>
          <t>Tarefa</t>
        </is>
      </c>
      <c r="K1100" s="62" t="n">
        <v>46065</v>
      </c>
      <c r="L1100" s="67" t="inlineStr">
        <is>
          <t>Pedro Victor</t>
        </is>
      </c>
      <c r="M1100" s="40" t="inlineStr">
        <is>
          <t>Cumprido</t>
        </is>
      </c>
      <c r="N1100" s="62" t="n">
        <v>46065</v>
      </c>
      <c r="O1100" s="67" t="inlineStr">
        <is>
          <t>Revisão (Documentos de implementação)</t>
        </is>
      </c>
    </row>
    <row r="1101">
      <c r="A1101" s="40" t="n"/>
      <c r="B1101" s="40" t="inlineStr">
        <is>
          <t>Outras</t>
        </is>
      </c>
      <c r="D1101" s="67" t="inlineStr">
        <is>
          <t>Pedro Victor</t>
        </is>
      </c>
      <c r="E1101" s="62" t="n">
        <v>45741</v>
      </c>
      <c r="I1101" s="67" t="inlineStr"/>
      <c r="J1101" s="67" t="inlineStr">
        <is>
          <t>Tarefa</t>
        </is>
      </c>
      <c r="K1101" s="62" t="n">
        <v>46065</v>
      </c>
      <c r="L1101" s="67" t="inlineStr">
        <is>
          <t>Marelize Controladoria</t>
        </is>
      </c>
      <c r="M1101" s="40" t="inlineStr">
        <is>
          <t>Cumprido</t>
        </is>
      </c>
      <c r="N1101" s="62" t="n">
        <v>46065</v>
      </c>
      <c r="O1101" s="67" t="inlineStr">
        <is>
          <t>12/02/2026 - Conferir prazos no TJs - TJSC - TJRS - TRT12 - TRF4 - JFSC - TJRJ - TJPR - TJPA - TJSP - TJGO;</t>
        </is>
      </c>
    </row>
    <row r="1102">
      <c r="A1102" s="40" t="inlineStr">
        <is>
          <t>00001344820245120027</t>
        </is>
      </c>
      <c r="B1102" s="40" t="inlineStr">
        <is>
          <t>Outras</t>
        </is>
      </c>
      <c r="D1102" s="67" t="inlineStr">
        <is>
          <t>Pedro Victor</t>
        </is>
      </c>
      <c r="E1102" s="62" t="n">
        <v>45358</v>
      </c>
      <c r="F1102" s="67" t="inlineStr">
        <is>
          <t>2ª VARA DO TRABALHO DE CRICIÚMA</t>
        </is>
      </c>
      <c r="I1102" s="67" t="inlineStr"/>
      <c r="J1102" s="67" t="inlineStr">
        <is>
          <t>Tarefa</t>
        </is>
      </c>
      <c r="K1102" s="62" t="n">
        <v>46065</v>
      </c>
      <c r="L1102" s="67" t="inlineStr">
        <is>
          <t>Marelize Controladoria</t>
        </is>
      </c>
      <c r="M1102" s="40" t="inlineStr">
        <is>
          <t>Cumprido</t>
        </is>
      </c>
      <c r="N1102" s="62" t="n">
        <v>46065</v>
      </c>
      <c r="O1102" s="67" t="inlineStr">
        <is>
          <t>12/02/2026 - Fazer Agendas.</t>
        </is>
      </c>
    </row>
    <row r="1103">
      <c r="A1103" s="40" t="inlineStr">
        <is>
          <t>5014970-52.2021.4.04.7204</t>
        </is>
      </c>
      <c r="B1103" s="40" t="inlineStr">
        <is>
          <t>Outras</t>
        </is>
      </c>
      <c r="D1103" s="67" t="inlineStr">
        <is>
          <t>Renata Francisco Becker</t>
        </is>
      </c>
      <c r="E1103" s="62" t="n">
        <v>45243</v>
      </c>
      <c r="F1103" s="67" t="inlineStr"/>
      <c r="I1103" s="67" t="inlineStr"/>
      <c r="J1103" s="67" t="inlineStr">
        <is>
          <t>Tarefa</t>
        </is>
      </c>
      <c r="K1103" s="62" t="n">
        <v>46065</v>
      </c>
      <c r="L1103" s="67" t="inlineStr">
        <is>
          <t>Marelize Controladoria</t>
        </is>
      </c>
      <c r="M1103" s="40" t="inlineStr">
        <is>
          <t>Cumprido</t>
        </is>
      </c>
      <c r="N1103" s="62" t="n">
        <v>46065</v>
      </c>
      <c r="O1103" s="67" t="inlineStr">
        <is>
          <t>12/02/2026 - Fazer Publicações.</t>
        </is>
      </c>
    </row>
    <row r="1104">
      <c r="A1104" s="40" t="inlineStr">
        <is>
          <t>0000952-47.2023.5.12.0055</t>
        </is>
      </c>
      <c r="B1104" s="40" t="inlineStr">
        <is>
          <t>Outras</t>
        </is>
      </c>
      <c r="D1104" s="67" t="inlineStr">
        <is>
          <t>Pedro Victor</t>
        </is>
      </c>
      <c r="E1104" s="62" t="n">
        <v>45118</v>
      </c>
      <c r="F1104" s="67" t="inlineStr"/>
      <c r="I1104" s="67" t="inlineStr"/>
      <c r="J1104" s="67" t="inlineStr">
        <is>
          <t>Tarefa</t>
        </is>
      </c>
      <c r="K1104" s="62" t="n">
        <v>46065</v>
      </c>
      <c r="L1104" s="67" t="inlineStr">
        <is>
          <t>Marelize Controladoria</t>
        </is>
      </c>
      <c r="M1104" s="40" t="inlineStr">
        <is>
          <t>Cumprido</t>
        </is>
      </c>
      <c r="N1104" s="62" t="n">
        <v>46065</v>
      </c>
      <c r="O1104" s="67" t="inlineStr">
        <is>
          <t>12/02/2026 - Olhar E-mails.</t>
        </is>
      </c>
    </row>
    <row r="1105">
      <c r="A1105" s="40" t="inlineStr">
        <is>
          <t>5000452-64.2023.8.24.0004</t>
        </is>
      </c>
      <c r="B1105" s="40" t="inlineStr">
        <is>
          <t>Outras</t>
        </is>
      </c>
      <c r="D1105" s="67" t="inlineStr">
        <is>
          <t>Renata Francisco Becker</t>
        </is>
      </c>
      <c r="E1105" s="62" t="n">
        <v>44958</v>
      </c>
      <c r="F1105" s="67" t="inlineStr"/>
      <c r="I1105" s="67" t="inlineStr">
        <is>
          <t>5010250-30.2025.8.24.0020</t>
        </is>
      </c>
      <c r="J1105" s="67" t="inlineStr">
        <is>
          <t>Tarefa</t>
        </is>
      </c>
      <c r="K1105" s="62" t="n">
        <v>46065</v>
      </c>
      <c r="L1105" s="67" t="inlineStr">
        <is>
          <t>Renata Francisco Becker</t>
        </is>
      </c>
      <c r="M1105" s="40" t="inlineStr">
        <is>
          <t>Cumprido</t>
        </is>
      </c>
      <c r="N1105" s="62" t="n">
        <v>46065</v>
      </c>
      <c r="O1105" s="67" t="inlineStr">
        <is>
          <t>Anotar nas agendas físicas</t>
        </is>
      </c>
    </row>
    <row r="1106">
      <c r="A1106" s="40" t="inlineStr">
        <is>
          <t>5030696-25.2023.8.24.0020</t>
        </is>
      </c>
      <c r="B1106" s="40" t="inlineStr">
        <is>
          <t>Outras</t>
        </is>
      </c>
      <c r="D1106" s="67" t="inlineStr">
        <is>
          <t>Pedro Victor</t>
        </is>
      </c>
      <c r="E1106" s="62" t="n">
        <v>45260</v>
      </c>
      <c r="F1106" s="67" t="inlineStr">
        <is>
          <t>Juízo do Juizado Especial Cível da Comarca de Criciúma</t>
        </is>
      </c>
      <c r="I1106" s="67" t="inlineStr">
        <is>
          <t>5012554-02.2025.8.24.0020</t>
        </is>
      </c>
      <c r="J1106" s="67" t="inlineStr">
        <is>
          <t>Tarefa</t>
        </is>
      </c>
      <c r="K1106" s="62" t="n">
        <v>46065</v>
      </c>
      <c r="L1106" s="67" t="inlineStr">
        <is>
          <t>Renata Francisco Becker</t>
        </is>
      </c>
      <c r="M1106" s="40" t="inlineStr">
        <is>
          <t>Cumprido</t>
        </is>
      </c>
      <c r="N1106" s="62" t="n">
        <v>46065</v>
      </c>
      <c r="O1106" s="67" t="inlineStr">
        <is>
          <t>Anotar nas agendas físicas</t>
        </is>
      </c>
    </row>
    <row r="1107">
      <c r="A1107" s="40" t="n"/>
      <c r="B1107" s="40" t="inlineStr">
        <is>
          <t>Outras</t>
        </is>
      </c>
      <c r="D1107" s="67" t="inlineStr">
        <is>
          <t>Luci</t>
        </is>
      </c>
      <c r="E1107" s="62" t="n">
        <v>45574</v>
      </c>
      <c r="I1107" s="67" t="inlineStr">
        <is>
          <t>5010250-30.2025.8.24.0020</t>
        </is>
      </c>
      <c r="J1107" s="67" t="inlineStr">
        <is>
          <t>Tarefa</t>
        </is>
      </c>
      <c r="K1107" s="62" t="n">
        <v>46065</v>
      </c>
      <c r="L1107" s="67" t="inlineStr">
        <is>
          <t>Marelize Controladoria</t>
        </is>
      </c>
      <c r="M1107" s="40" t="inlineStr">
        <is>
          <t>Cumprido</t>
        </is>
      </c>
      <c r="N1107" s="62" t="n">
        <v>46065</v>
      </c>
      <c r="O1107" s="67" t="inlineStr">
        <is>
          <t>Avisar cliente da audiencia</t>
        </is>
      </c>
    </row>
    <row r="1108">
      <c r="A1108" s="40" t="n"/>
      <c r="B1108" s="40" t="inlineStr">
        <is>
          <t>Outras</t>
        </is>
      </c>
      <c r="D1108" s="67" t="inlineStr">
        <is>
          <t>Renata Francisco Becker</t>
        </is>
      </c>
      <c r="E1108" s="62" t="n">
        <v>45677</v>
      </c>
      <c r="I1108" s="67" t="inlineStr">
        <is>
          <t>5012554-02.2025.8.24.0020</t>
        </is>
      </c>
      <c r="J1108" s="67" t="inlineStr">
        <is>
          <t>Tarefa</t>
        </is>
      </c>
      <c r="K1108" s="62" t="n">
        <v>46065</v>
      </c>
      <c r="L1108" s="67" t="inlineStr">
        <is>
          <t>Marelize Controladoria</t>
        </is>
      </c>
      <c r="M1108" s="40" t="inlineStr">
        <is>
          <t>Cumprido</t>
        </is>
      </c>
      <c r="N1108" s="62" t="n">
        <v>46065</v>
      </c>
      <c r="O1108" s="67" t="inlineStr">
        <is>
          <t>Avisar cliente da audiencia</t>
        </is>
      </c>
    </row>
    <row r="1109">
      <c r="A1109" s="40" t="n"/>
      <c r="B1109" s="40" t="inlineStr">
        <is>
          <t>Outras</t>
        </is>
      </c>
      <c r="D1109" s="67" t="inlineStr">
        <is>
          <t>Pedro Victor</t>
        </is>
      </c>
      <c r="E1109" s="62" t="n">
        <v>45740</v>
      </c>
      <c r="I1109" s="67" t="inlineStr"/>
      <c r="J1109" s="67" t="inlineStr">
        <is>
          <t>Tarefa</t>
        </is>
      </c>
      <c r="K1109" s="62" t="n">
        <v>46065</v>
      </c>
      <c r="L1109" s="67" t="inlineStr">
        <is>
          <t>Jessica</t>
        </is>
      </c>
      <c r="M1109" s="40" t="inlineStr">
        <is>
          <t>Cumprido</t>
        </is>
      </c>
      <c r="N1109" s="62" t="n">
        <v>46065</v>
      </c>
      <c r="O1109" s="67" t="inlineStr">
        <is>
          <t>Chamar juninho Dio Santo</t>
        </is>
      </c>
    </row>
    <row r="1110">
      <c r="A1110" s="40" t="inlineStr">
        <is>
          <t>5006050-96.2023.8.24.0004</t>
        </is>
      </c>
      <c r="B1110" s="40" t="inlineStr">
        <is>
          <t>Outras</t>
        </is>
      </c>
      <c r="D1110" s="67" t="inlineStr">
        <is>
          <t>Renata Francisco Becker</t>
        </is>
      </c>
      <c r="E1110" s="62" t="n">
        <v>45744</v>
      </c>
      <c r="F1110" s="67" t="inlineStr"/>
      <c r="I1110" s="67" t="inlineStr"/>
      <c r="J1110" s="67" t="inlineStr">
        <is>
          <t>Tarefa</t>
        </is>
      </c>
      <c r="K1110" s="62" t="n">
        <v>46065</v>
      </c>
      <c r="L1110" s="67" t="inlineStr">
        <is>
          <t>Pedro Victor</t>
        </is>
      </c>
      <c r="M1110" s="40" t="inlineStr">
        <is>
          <t>Cumprido</t>
        </is>
      </c>
      <c r="N1110" s="62" t="n">
        <v>46065</v>
      </c>
      <c r="O1110" s="67" t="inlineStr">
        <is>
          <t>Elaborar contratos e procuração</t>
        </is>
      </c>
    </row>
    <row r="1111">
      <c r="A1111" s="40" t="inlineStr">
        <is>
          <t>5007140-38.2021.8.24.0028</t>
        </is>
      </c>
      <c r="B1111" s="40" t="inlineStr">
        <is>
          <t>Outras</t>
        </is>
      </c>
      <c r="D1111" s="67" t="inlineStr">
        <is>
          <t>Renata Francisco Becker</t>
        </is>
      </c>
      <c r="E1111" s="62" t="n">
        <v>44701</v>
      </c>
      <c r="F1111" s="67" t="inlineStr">
        <is>
          <t>Juizo Da 1ª Vara Da Comarca De Icara</t>
        </is>
      </c>
      <c r="I1111" s="67" t="inlineStr">
        <is>
          <t>5003082-74.2025.8.24.0020</t>
        </is>
      </c>
      <c r="J1111" s="67" t="inlineStr">
        <is>
          <t>Tarefa</t>
        </is>
      </c>
      <c r="K1111" s="62" t="n">
        <v>46065</v>
      </c>
      <c r="L1111" s="67" t="inlineStr">
        <is>
          <t xml:space="preserve">Alexia </t>
        </is>
      </c>
      <c r="M1111" s="40" t="inlineStr">
        <is>
          <t>Cumprido</t>
        </is>
      </c>
      <c r="N1111" s="62" t="n">
        <v>46065</v>
      </c>
      <c r="O1111" s="67" t="inlineStr">
        <is>
          <t>Juntar procuração</t>
        </is>
      </c>
    </row>
    <row r="1112">
      <c r="A1112" s="40" t="inlineStr">
        <is>
          <t>5015625-12.2023.8.24.0075</t>
        </is>
      </c>
      <c r="B1112" s="40" t="inlineStr">
        <is>
          <t>Outras</t>
        </is>
      </c>
      <c r="D1112" s="67" t="inlineStr">
        <is>
          <t>Renata Francisco Becker</t>
        </is>
      </c>
      <c r="E1112" s="62" t="n">
        <v>45569</v>
      </c>
      <c r="F1112" s="67" t="inlineStr"/>
      <c r="I1112" s="67" t="inlineStr"/>
      <c r="J1112" s="67" t="inlineStr">
        <is>
          <t>Tarefa</t>
        </is>
      </c>
      <c r="K1112" s="62" t="n">
        <v>46065</v>
      </c>
      <c r="L1112" s="67" t="inlineStr">
        <is>
          <t>Marelize Controladoria</t>
        </is>
      </c>
      <c r="M1112" s="40" t="inlineStr">
        <is>
          <t>Cumprido</t>
        </is>
      </c>
      <c r="N1112" s="62" t="n">
        <v>46065</v>
      </c>
      <c r="O1112" s="67" t="inlineStr">
        <is>
          <t xml:space="preserve">Notiticação extrajudicial  - concluir notificação extrajudicial sobre o caso, ja tem um esboso salvo 
F:\Cloud\Renata e Pedro\Becker &amp; Victor Advogados\Clientes\Assessorias\29 - Zampier Transportes\Civeis\Caso Possoli Veículos
pegar datas mais precisas no grupo da zampie, para melhorar o conteudo. </t>
        </is>
      </c>
    </row>
    <row r="1113">
      <c r="A1113" s="40" t="inlineStr">
        <is>
          <t>5015697-38.2021.8.24.0020</t>
        </is>
      </c>
      <c r="B1113" s="40" t="inlineStr">
        <is>
          <t>Outras</t>
        </is>
      </c>
      <c r="D1113" s="67" t="inlineStr">
        <is>
          <t>Renata Francisco Becker</t>
        </is>
      </c>
      <c r="E1113" s="62" t="n">
        <v>44809</v>
      </c>
      <c r="F1113" s="67" t="inlineStr"/>
      <c r="I1113" s="67" t="inlineStr"/>
      <c r="J1113" s="67" t="inlineStr">
        <is>
          <t>Tarefa</t>
        </is>
      </c>
      <c r="K1113" s="62" t="n">
        <v>46065</v>
      </c>
      <c r="L1113" s="67" t="inlineStr">
        <is>
          <t>Jessica</t>
        </is>
      </c>
      <c r="M1113" s="40" t="inlineStr">
        <is>
          <t>Cumprido</t>
        </is>
      </c>
      <c r="N1113" s="62" t="n">
        <v>46065</v>
      </c>
      <c r="O1113" s="67" t="inlineStr">
        <is>
          <t xml:space="preserve">Para conhecimento do caso. AS anotações de estratégias geral, mantemos os registros aqui para não se perder. Ai vamos fazendo os desdobramentos dentro de cada ação . Eu sempre vou colocar os resumos das audiências nos atendimentos do caso </t>
        </is>
      </c>
    </row>
    <row r="1114">
      <c r="A1114" s="40" t="inlineStr">
        <is>
          <t>5023484-21.2021.8.24.0020</t>
        </is>
      </c>
      <c r="B1114" s="40" t="inlineStr">
        <is>
          <t>Outras</t>
        </is>
      </c>
      <c r="D1114" s="67" t="inlineStr">
        <is>
          <t>Renata Francisco Becker</t>
        </is>
      </c>
      <c r="E1114" s="62" t="n">
        <v>44824</v>
      </c>
      <c r="F1114" s="67" t="inlineStr"/>
      <c r="I1114" s="67" t="inlineStr"/>
      <c r="J1114" s="67" t="inlineStr">
        <is>
          <t>Tarefa</t>
        </is>
      </c>
      <c r="K1114" s="62" t="n">
        <v>46065</v>
      </c>
      <c r="L1114" s="67" t="inlineStr">
        <is>
          <t>Renata Francisco Becker</t>
        </is>
      </c>
      <c r="M1114" s="40" t="inlineStr">
        <is>
          <t>Cumprido</t>
        </is>
      </c>
      <c r="N1114" s="62" t="n">
        <v>46065</v>
      </c>
      <c r="O1114" s="67" t="inlineStr">
        <is>
          <t>Pegar contrato social e documentos dos sócios</t>
        </is>
      </c>
    </row>
    <row r="1115">
      <c r="A1115" s="40" t="inlineStr">
        <is>
          <t>0005374-07.2012.8.24.0010</t>
        </is>
      </c>
      <c r="B1115" s="40" t="inlineStr">
        <is>
          <t>Outras</t>
        </is>
      </c>
      <c r="D1115" s="67" t="inlineStr">
        <is>
          <t>Renata Francisco Becker</t>
        </is>
      </c>
      <c r="E1115" s="62" t="n">
        <v>44711</v>
      </c>
      <c r="F1115" s="67" t="inlineStr">
        <is>
          <t>Gab 02 - 2ª Turma Recursal - Florianópolis (Capital)</t>
        </is>
      </c>
      <c r="I1115" s="67" t="inlineStr">
        <is>
          <t>5020238-75.2025.8.24.0020</t>
        </is>
      </c>
      <c r="J1115" s="67" t="inlineStr">
        <is>
          <t>Tarefa</t>
        </is>
      </c>
      <c r="K1115" s="62" t="n">
        <v>46065</v>
      </c>
      <c r="L1115" s="67" t="inlineStr">
        <is>
          <t xml:space="preserve">Alexia </t>
        </is>
      </c>
      <c r="M1115" s="40" t="inlineStr">
        <is>
          <t>Cumprido</t>
        </is>
      </c>
      <c r="N1115" s="62" t="n">
        <v>46065</v>
      </c>
      <c r="O1115" s="67" t="inlineStr">
        <is>
          <t>Protocolo</t>
        </is>
      </c>
    </row>
    <row r="1116">
      <c r="A1116" s="40" t="n"/>
      <c r="B1116" s="40" t="inlineStr">
        <is>
          <t>Outras</t>
        </is>
      </c>
      <c r="D1116" s="67" t="inlineStr">
        <is>
          <t>Renata Francisco Becker</t>
        </is>
      </c>
      <c r="E1116" s="62" t="n">
        <v>45744</v>
      </c>
      <c r="I1116" s="67" t="inlineStr">
        <is>
          <t>5010250-30.2025.8.24.0020</t>
        </is>
      </c>
      <c r="J1116" s="67" t="inlineStr">
        <is>
          <t>Tarefa</t>
        </is>
      </c>
      <c r="K1116" s="62" t="n">
        <v>46065</v>
      </c>
      <c r="L1116" s="67" t="inlineStr">
        <is>
          <t xml:space="preserve">Alexia </t>
        </is>
      </c>
      <c r="M1116" s="40" t="inlineStr">
        <is>
          <t>Cumprido</t>
        </is>
      </c>
      <c r="N1116" s="62" t="n">
        <v>46065</v>
      </c>
      <c r="O1116" s="67" t="inlineStr">
        <is>
          <t>Protocolo</t>
        </is>
      </c>
    </row>
    <row r="1117">
      <c r="A1117" s="40" t="n"/>
      <c r="B1117" s="40" t="inlineStr">
        <is>
          <t>Outras</t>
        </is>
      </c>
      <c r="D1117" s="67" t="inlineStr">
        <is>
          <t xml:space="preserve">Lucas </t>
        </is>
      </c>
      <c r="E1117" s="62" t="n">
        <v>45750</v>
      </c>
      <c r="I1117" s="67" t="inlineStr">
        <is>
          <t>5012554-02.2025.8.24.0020</t>
        </is>
      </c>
      <c r="J1117" s="67" t="inlineStr">
        <is>
          <t>Tarefa</t>
        </is>
      </c>
      <c r="K1117" s="62" t="n">
        <v>46065</v>
      </c>
      <c r="L1117" s="67" t="inlineStr">
        <is>
          <t xml:space="preserve">Alexia </t>
        </is>
      </c>
      <c r="M1117" s="40" t="inlineStr">
        <is>
          <t>Cumprido</t>
        </is>
      </c>
      <c r="N1117" s="62" t="n">
        <v>46065</v>
      </c>
      <c r="O1117" s="67" t="inlineStr">
        <is>
          <t>Protocolo</t>
        </is>
      </c>
    </row>
    <row r="1118">
      <c r="A1118" s="40" t="inlineStr">
        <is>
          <t>1205875041543629</t>
        </is>
      </c>
      <c r="B1118" s="40" t="inlineStr">
        <is>
          <t>Outras</t>
        </is>
      </c>
      <c r="D1118" s="67" t="inlineStr">
        <is>
          <t xml:space="preserve">Lucas </t>
        </is>
      </c>
      <c r="E1118" s="62" t="n">
        <v>45737</v>
      </c>
      <c r="F1118" s="67" t="inlineStr"/>
      <c r="I1118" s="67" t="inlineStr"/>
      <c r="J1118" s="67" t="inlineStr">
        <is>
          <t>Tarefa</t>
        </is>
      </c>
      <c r="K1118" s="62" t="n">
        <v>46065</v>
      </c>
      <c r="L1118" s="67" t="inlineStr">
        <is>
          <t xml:space="preserve">Alexia </t>
        </is>
      </c>
      <c r="M1118" s="40" t="inlineStr">
        <is>
          <t>Cumprido</t>
        </is>
      </c>
      <c r="N1118" s="62" t="n">
        <v>46065</v>
      </c>
      <c r="O1118" s="67" t="inlineStr">
        <is>
          <t>RETORNO CLIENTE - Colonetti (Retorno e-mail CEF)</t>
        </is>
      </c>
    </row>
    <row r="1119">
      <c r="A1119" s="40" t="n"/>
      <c r="B1119" s="40" t="inlineStr">
        <is>
          <t>Outras</t>
        </is>
      </c>
      <c r="D1119" s="67" t="inlineStr">
        <is>
          <t>Renata Francisco Becker</t>
        </is>
      </c>
      <c r="E1119" s="62" t="n">
        <v>45600</v>
      </c>
      <c r="I1119" s="67" t="inlineStr"/>
      <c r="J1119" s="67" t="inlineStr">
        <is>
          <t>Tarefa</t>
        </is>
      </c>
      <c r="K1119" s="62" t="n">
        <v>46065</v>
      </c>
      <c r="L1119" s="67" t="inlineStr">
        <is>
          <t>Renata Francisco Becker</t>
        </is>
      </c>
      <c r="M1119" s="40" t="inlineStr">
        <is>
          <t>Cumprido</t>
        </is>
      </c>
      <c r="N1119" s="62" t="n">
        <v>46065</v>
      </c>
      <c r="O1119" s="67" t="inlineStr">
        <is>
          <t>Revisão</t>
        </is>
      </c>
    </row>
    <row r="1120">
      <c r="A1120" s="40" t="n"/>
      <c r="B1120" s="40" t="inlineStr">
        <is>
          <t>Outras</t>
        </is>
      </c>
      <c r="D1120" s="67" t="inlineStr">
        <is>
          <t>Renata Francisco Becker</t>
        </is>
      </c>
      <c r="E1120" s="62" t="n">
        <v>45709</v>
      </c>
      <c r="I1120" s="67" t="inlineStr">
        <is>
          <t>50239155020248240020</t>
        </is>
      </c>
      <c r="J1120" s="67" t="inlineStr">
        <is>
          <t>Tarefa</t>
        </is>
      </c>
      <c r="K1120" s="62" t="n">
        <v>46065</v>
      </c>
      <c r="L1120" s="67" t="inlineStr">
        <is>
          <t>Renata Francisco Becker</t>
        </is>
      </c>
      <c r="M1120" s="40" t="inlineStr">
        <is>
          <t>Cumprido</t>
        </is>
      </c>
      <c r="N1120" s="62" t="n">
        <v>46065</v>
      </c>
      <c r="O1120" s="67" t="inlineStr">
        <is>
          <t>Revisão</t>
        </is>
      </c>
    </row>
    <row r="1121">
      <c r="A1121" s="40" t="inlineStr">
        <is>
          <t>5003575-42.2023.8.24.0078</t>
        </is>
      </c>
      <c r="B1121" s="40" t="inlineStr">
        <is>
          <t>Outras</t>
        </is>
      </c>
      <c r="D1121" s="67" t="inlineStr">
        <is>
          <t>Pedro Victor</t>
        </is>
      </c>
      <c r="E1121" s="62" t="n">
        <v>45554</v>
      </c>
      <c r="F1121" s="67" t="inlineStr">
        <is>
          <t>Juízo da 1ª Vara da Comarca de Urussanga</t>
        </is>
      </c>
      <c r="I1121" s="67" t="inlineStr">
        <is>
          <t>5020238-75.2025.8.24.0020</t>
        </is>
      </c>
      <c r="J1121" s="67" t="inlineStr">
        <is>
          <t>Tarefa</t>
        </is>
      </c>
      <c r="K1121" s="62" t="n">
        <v>46065</v>
      </c>
      <c r="L1121" s="67" t="inlineStr">
        <is>
          <t>Renata Francisco Becker</t>
        </is>
      </c>
      <c r="M1121" s="40" t="inlineStr">
        <is>
          <t>Cumprido</t>
        </is>
      </c>
      <c r="N1121" s="62" t="n">
        <v>46065</v>
      </c>
      <c r="O1121" s="67" t="inlineStr">
        <is>
          <t>Revisão</t>
        </is>
      </c>
    </row>
    <row r="1122">
      <c r="A1122" s="40" t="inlineStr">
        <is>
          <t>5011771-78.2023.8.24.0020</t>
        </is>
      </c>
      <c r="B1122" s="40" t="inlineStr">
        <is>
          <t>Outras</t>
        </is>
      </c>
      <c r="D1122" s="67" t="inlineStr">
        <is>
          <t>Renata Francisco Becker</t>
        </is>
      </c>
      <c r="E1122" s="62" t="n">
        <v>45687</v>
      </c>
      <c r="F1122" s="67" t="inlineStr">
        <is>
          <t>Juízo da 4ª Vara Cível da Comarca de Criciúma</t>
        </is>
      </c>
      <c r="I1122" s="67" t="inlineStr">
        <is>
          <t>5033611-13.2024.8.24.0020</t>
        </is>
      </c>
      <c r="J1122" s="67" t="inlineStr">
        <is>
          <t>Tarefa</t>
        </is>
      </c>
      <c r="K1122" s="62" t="n">
        <v>46065</v>
      </c>
      <c r="L1122" s="67" t="inlineStr">
        <is>
          <t xml:space="preserve">Alexia </t>
        </is>
      </c>
      <c r="M1122" s="40" t="inlineStr">
        <is>
          <t>Cumprido</t>
        </is>
      </c>
      <c r="N1122" s="62" t="n">
        <v>46065</v>
      </c>
      <c r="O1122" s="67" t="inlineStr">
        <is>
          <t>Seguir a estratégia e verficar se achamos algum bem para pedir a penhora.</t>
        </is>
      </c>
    </row>
    <row r="1123">
      <c r="A1123" s="40" t="inlineStr">
        <is>
          <t>5008135-96.2025.8.24.0000</t>
        </is>
      </c>
      <c r="B1123" s="40" t="inlineStr">
        <is>
          <t>Outras</t>
        </is>
      </c>
      <c r="D1123" s="67" t="inlineStr">
        <is>
          <t>Renata Francisco Becker</t>
        </is>
      </c>
      <c r="E1123" s="62" t="n">
        <v>45715</v>
      </c>
      <c r="F1123" s="67" t="inlineStr"/>
      <c r="I1123" s="67" t="inlineStr"/>
      <c r="J1123" s="67" t="inlineStr">
        <is>
          <t>Tarefa</t>
        </is>
      </c>
      <c r="K1123" s="62" t="n">
        <v>46065</v>
      </c>
      <c r="L1123" s="67" t="inlineStr">
        <is>
          <t>Marelize Controladoria</t>
        </is>
      </c>
      <c r="M1123" s="40" t="inlineStr">
        <is>
          <t>Cumprido</t>
        </is>
      </c>
      <c r="N1123" s="62" t="n">
        <v>46065</v>
      </c>
      <c r="O1123" s="67" t="inlineStr">
        <is>
          <t>Verificar 3 etapa auditorias</t>
        </is>
      </c>
    </row>
    <row r="1124">
      <c r="A1124" s="40" t="inlineStr">
        <is>
          <t>5004883-25.2025.8.24.0020</t>
        </is>
      </c>
      <c r="B1124" s="40" t="inlineStr">
        <is>
          <t>Outras</t>
        </is>
      </c>
      <c r="D1124" s="67" t="inlineStr">
        <is>
          <t>Renata Francisco Becker</t>
        </is>
      </c>
      <c r="E1124" s="62" t="n">
        <v>45754</v>
      </c>
      <c r="F1124" s="67" t="inlineStr"/>
      <c r="I1124" s="67" t="inlineStr"/>
      <c r="J1124" s="67" t="inlineStr">
        <is>
          <t>Evento</t>
        </is>
      </c>
      <c r="K1124" s="62" t="n">
        <v>46065</v>
      </c>
      <c r="L1124" s="67" t="inlineStr">
        <is>
          <t xml:space="preserve">Lucas </t>
        </is>
      </c>
      <c r="M1124" s="40" t="inlineStr">
        <is>
          <t>Cumprido</t>
        </is>
      </c>
      <c r="N1124" s="62" t="n">
        <v>46065</v>
      </c>
      <c r="O1124" s="67" t="inlineStr">
        <is>
          <t>Atendimento Ivete Fidelis</t>
        </is>
      </c>
    </row>
    <row r="1125">
      <c r="A1125" s="40" t="inlineStr">
        <is>
          <t>5090207-37.2023.8.24.0930</t>
        </is>
      </c>
      <c r="B1125" s="40" t="inlineStr">
        <is>
          <t>Outras</t>
        </is>
      </c>
      <c r="D1125" s="67" t="inlineStr">
        <is>
          <t>Renata Francisco Becker</t>
        </is>
      </c>
      <c r="E1125" s="62" t="n">
        <v>45520</v>
      </c>
      <c r="F1125" s="67" t="inlineStr"/>
      <c r="I1125" s="67" t="inlineStr"/>
      <c r="J1125" s="67" t="inlineStr">
        <is>
          <t>Prazo</t>
        </is>
      </c>
      <c r="K1125" s="62" t="n">
        <v>46066</v>
      </c>
      <c r="L1125" s="67" t="inlineStr">
        <is>
          <t xml:space="preserve">Lucas </t>
        </is>
      </c>
      <c r="M1125" s="40" t="inlineStr">
        <is>
          <t>Cumprido</t>
        </is>
      </c>
      <c r="N1125" s="62" t="n">
        <v>46066</v>
      </c>
      <c r="O1125" s="67" t="inlineStr">
        <is>
          <t>Analisar situção de formato de pgto dos benefícios trabalhistas</t>
        </is>
      </c>
    </row>
    <row r="1126">
      <c r="A1126" s="40" t="inlineStr">
        <is>
          <t>5002225-53.2022.8.24.0078</t>
        </is>
      </c>
      <c r="B1126" s="40" t="inlineStr">
        <is>
          <t>Outras</t>
        </is>
      </c>
      <c r="D1126" s="67" t="inlineStr">
        <is>
          <t>Renata Francisco Becker</t>
        </is>
      </c>
      <c r="E1126" s="62" t="n">
        <v>44727</v>
      </c>
      <c r="F1126" s="67" t="inlineStr"/>
      <c r="I1126" s="67" t="inlineStr"/>
      <c r="J1126" s="67" t="inlineStr">
        <is>
          <t>Prazo</t>
        </is>
      </c>
      <c r="K1126" s="62" t="n">
        <v>46066</v>
      </c>
      <c r="L1126" s="67" t="inlineStr">
        <is>
          <t>Jessica</t>
        </is>
      </c>
      <c r="M1126" s="40" t="inlineStr">
        <is>
          <t>Cumprido</t>
        </is>
      </c>
      <c r="N1126" s="62" t="n">
        <v>46066</v>
      </c>
      <c r="O1126" s="67" t="inlineStr">
        <is>
          <t>Analise de IPI (Tec Power)</t>
        </is>
      </c>
    </row>
    <row r="1127">
      <c r="A1127" s="40" t="inlineStr">
        <is>
          <t>0003795-82.2013.8.24.0044</t>
        </is>
      </c>
      <c r="B1127" s="40" t="inlineStr">
        <is>
          <t>Outras</t>
        </is>
      </c>
      <c r="D1127" s="67" t="inlineStr">
        <is>
          <t>Renata Francisco Becker</t>
        </is>
      </c>
      <c r="E1127" s="62" t="n">
        <v>44970</v>
      </c>
      <c r="F1127" s="67" t="inlineStr">
        <is>
          <t>Juízo da 1ª Vara da Comarca de Orleans</t>
        </is>
      </c>
      <c r="I1127" s="67" t="inlineStr"/>
      <c r="J1127" s="67" t="inlineStr">
        <is>
          <t>Prazo</t>
        </is>
      </c>
      <c r="K1127" s="62" t="n">
        <v>46066</v>
      </c>
      <c r="L1127" s="67" t="inlineStr">
        <is>
          <t>Jessica</t>
        </is>
      </c>
      <c r="M1127" s="40" t="inlineStr">
        <is>
          <t>Cumprido</t>
        </is>
      </c>
      <c r="N1127" s="62" t="n">
        <v>46066</v>
      </c>
      <c r="O1127" s="67" t="inlineStr">
        <is>
          <t>Atualização da renovação INPI da marca Aqua Inspire</t>
        </is>
      </c>
    </row>
    <row r="1128">
      <c r="A1128" s="40" t="n"/>
      <c r="B1128" s="40" t="inlineStr">
        <is>
          <t>Outras</t>
        </is>
      </c>
      <c r="D1128" s="67" t="inlineStr">
        <is>
          <t>Renata Francisco Becker</t>
        </is>
      </c>
      <c r="E1128" s="62" t="n">
        <v>45735</v>
      </c>
      <c r="I1128" s="67" t="inlineStr">
        <is>
          <t>54649624320238090067</t>
        </is>
      </c>
      <c r="J1128" s="67" t="inlineStr">
        <is>
          <t>Prazo</t>
        </is>
      </c>
      <c r="K1128" s="62" t="n">
        <v>46066</v>
      </c>
      <c r="L1128" s="67" t="inlineStr">
        <is>
          <t xml:space="preserve">Lucas </t>
        </is>
      </c>
      <c r="M1128" s="40" t="inlineStr">
        <is>
          <t>Cumprido</t>
        </is>
      </c>
      <c r="N1128" s="62" t="n">
        <v>46066</v>
      </c>
      <c r="O1128" s="67" t="inlineStr">
        <is>
          <t>Contrarrazões ao Recurso Especial</t>
        </is>
      </c>
    </row>
    <row r="1129">
      <c r="A1129" s="40" t="n"/>
      <c r="B1129" s="40" t="inlineStr">
        <is>
          <t>Outras</t>
        </is>
      </c>
      <c r="D1129" s="67" t="inlineStr">
        <is>
          <t>Luci</t>
        </is>
      </c>
      <c r="E1129" s="62" t="n">
        <v>45588</v>
      </c>
      <c r="I1129" s="67" t="inlineStr"/>
      <c r="J1129" s="67" t="inlineStr">
        <is>
          <t>Prazo</t>
        </is>
      </c>
      <c r="K1129" s="62" t="n">
        <v>46066</v>
      </c>
      <c r="L1129" s="67" t="inlineStr">
        <is>
          <t xml:space="preserve">Lucas </t>
        </is>
      </c>
      <c r="M1129" s="40" t="inlineStr">
        <is>
          <t>Cumprido</t>
        </is>
      </c>
      <c r="N1129" s="62" t="n">
        <v>46066</v>
      </c>
      <c r="O1129" s="67" t="inlineStr">
        <is>
          <t>Elaboração de contrato de Prestação de Serviços</t>
        </is>
      </c>
    </row>
    <row r="1130">
      <c r="A1130" s="40" t="n"/>
      <c r="B1130" s="40" t="inlineStr">
        <is>
          <t>Outras</t>
        </is>
      </c>
      <c r="D1130" s="67" t="inlineStr">
        <is>
          <t>Renata Francisco Becker</t>
        </is>
      </c>
      <c r="E1130" s="62" t="n">
        <v>45713</v>
      </c>
      <c r="I1130" s="67" t="inlineStr">
        <is>
          <t>0000211-70.2026.5.12.0000</t>
        </is>
      </c>
      <c r="J1130" s="67" t="inlineStr">
        <is>
          <t>Prazo</t>
        </is>
      </c>
      <c r="K1130" s="62" t="n">
        <v>46066</v>
      </c>
      <c r="L1130" s="67" t="inlineStr">
        <is>
          <t>Luci</t>
        </is>
      </c>
      <c r="M1130" s="40" t="inlineStr">
        <is>
          <t>Cumprido</t>
        </is>
      </c>
      <c r="N1130" s="62" t="n">
        <v>46066</v>
      </c>
      <c r="O1130" s="67" t="inlineStr">
        <is>
          <t>Embargos de Declaração</t>
        </is>
      </c>
    </row>
    <row r="1131">
      <c r="A1131" s="40" t="n"/>
      <c r="B1131" s="40" t="inlineStr">
        <is>
          <t>Outras</t>
        </is>
      </c>
      <c r="D1131" s="67" t="inlineStr">
        <is>
          <t>Luci</t>
        </is>
      </c>
      <c r="E1131" s="62" t="n">
        <v>45573</v>
      </c>
      <c r="I1131" s="67" t="inlineStr">
        <is>
          <t>5014179-44.2025.4.04.7204</t>
        </is>
      </c>
      <c r="J1131" s="67" t="inlineStr">
        <is>
          <t>Prazo</t>
        </is>
      </c>
      <c r="K1131" s="62" t="n">
        <v>46066</v>
      </c>
      <c r="L1131" s="67" t="inlineStr">
        <is>
          <t xml:space="preserve">Lucas </t>
        </is>
      </c>
      <c r="M1131" s="40" t="inlineStr">
        <is>
          <t>Cumprido</t>
        </is>
      </c>
      <c r="N1131" s="62" t="n">
        <v>46066</v>
      </c>
      <c r="O1131" s="67" t="inlineStr">
        <is>
          <t>Prazo</t>
        </is>
      </c>
    </row>
    <row r="1132">
      <c r="A1132" s="40" t="inlineStr">
        <is>
          <t>5004053-35.2020.8.24.0020</t>
        </is>
      </c>
      <c r="B1132" s="40" t="inlineStr">
        <is>
          <t>Outras</t>
        </is>
      </c>
      <c r="D1132" s="67" t="inlineStr">
        <is>
          <t>Renata Francisco Becker</t>
        </is>
      </c>
      <c r="E1132" s="62" t="n">
        <v>44701</v>
      </c>
      <c r="F1132" s="67" t="inlineStr">
        <is>
          <t>Juizo Da 4ª Vara Civel Da Comarca De Criciuma</t>
        </is>
      </c>
      <c r="I1132" s="67" t="inlineStr">
        <is>
          <t>1000101-23.2021.8.26.0539</t>
        </is>
      </c>
      <c r="J1132" s="67" t="inlineStr">
        <is>
          <t>Prazo</t>
        </is>
      </c>
      <c r="K1132" s="62" t="n">
        <v>46066</v>
      </c>
      <c r="L1132" s="67" t="inlineStr">
        <is>
          <t xml:space="preserve">Alexia </t>
        </is>
      </c>
      <c r="M1132" s="40" t="inlineStr">
        <is>
          <t>Cumprido</t>
        </is>
      </c>
      <c r="N1132" s="62" t="n">
        <v>46066</v>
      </c>
      <c r="O1132" s="67" t="inlineStr">
        <is>
          <t xml:space="preserve">Prazo </t>
        </is>
      </c>
    </row>
    <row r="1133">
      <c r="A1133" s="40" t="inlineStr">
        <is>
          <t>0300131-93.2017.8.24.0087</t>
        </is>
      </c>
      <c r="B1133" s="40" t="inlineStr">
        <is>
          <t>Outras</t>
        </is>
      </c>
      <c r="D1133" s="67" t="inlineStr">
        <is>
          <t>Renata Francisco Becker</t>
        </is>
      </c>
      <c r="E1133" s="62" t="n">
        <v>44942</v>
      </c>
      <c r="F1133" s="67" t="inlineStr">
        <is>
          <t>Juízo da Vara Única da Comarca de Lauro Müller</t>
        </is>
      </c>
      <c r="I1133" s="67" t="inlineStr"/>
      <c r="J1133" s="67" t="inlineStr">
        <is>
          <t>Prazo</t>
        </is>
      </c>
      <c r="K1133" s="62" t="n">
        <v>46066</v>
      </c>
      <c r="L1133" s="67" t="inlineStr">
        <is>
          <t>Pedro Victor</t>
        </is>
      </c>
      <c r="M1133" s="40" t="inlineStr">
        <is>
          <t>Cumprido</t>
        </is>
      </c>
      <c r="N1133" s="62" t="n">
        <v>46066</v>
      </c>
      <c r="O1133" s="67" t="inlineStr">
        <is>
          <t>Procedimento interno para cadastro de nova empresa Cresci Goiania</t>
        </is>
      </c>
    </row>
    <row r="1134">
      <c r="A1134" s="40" t="n"/>
      <c r="B1134" s="40" t="inlineStr">
        <is>
          <t>Outras</t>
        </is>
      </c>
      <c r="D1134" s="67" t="inlineStr">
        <is>
          <t>Pedro Victor</t>
        </is>
      </c>
      <c r="E1134" s="62" t="n">
        <v>45712</v>
      </c>
      <c r="I1134" s="67" t="inlineStr">
        <is>
          <t>5011355-42.2025.8.24.0020</t>
        </is>
      </c>
      <c r="J1134" s="67" t="inlineStr">
        <is>
          <t>Prazo</t>
        </is>
      </c>
      <c r="K1134" s="62" t="n">
        <v>46066</v>
      </c>
      <c r="L1134" s="67" t="inlineStr">
        <is>
          <t xml:space="preserve">Alexia </t>
        </is>
      </c>
      <c r="M1134" s="40" t="inlineStr">
        <is>
          <t>Cumprido</t>
        </is>
      </c>
      <c r="N1134" s="62" t="n">
        <v>46066</v>
      </c>
      <c r="O1134" s="67" t="inlineStr">
        <is>
          <t>Recurso de Apelação</t>
        </is>
      </c>
    </row>
    <row r="1135">
      <c r="A1135" s="40" t="n"/>
      <c r="B1135" s="40" t="inlineStr">
        <is>
          <t>Outras</t>
        </is>
      </c>
      <c r="D1135" s="67" t="inlineStr">
        <is>
          <t>Renata Francisco Becker</t>
        </is>
      </c>
      <c r="E1135" s="62" t="n">
        <v>45728</v>
      </c>
      <c r="I1135" s="67" t="inlineStr">
        <is>
          <t>5012518-57.2025.8.24.0020</t>
        </is>
      </c>
      <c r="J1135" s="67" t="inlineStr">
        <is>
          <t>Prazo</t>
        </is>
      </c>
      <c r="K1135" s="62" t="n">
        <v>46066</v>
      </c>
      <c r="L1135" s="67" t="inlineStr">
        <is>
          <t xml:space="preserve">Alexia </t>
        </is>
      </c>
      <c r="M1135" s="40" t="inlineStr">
        <is>
          <t>Cumprido</t>
        </is>
      </c>
      <c r="N1135" s="62" t="n">
        <v>46066</v>
      </c>
      <c r="O1135" s="67" t="inlineStr">
        <is>
          <t>Recurso de Apelação</t>
        </is>
      </c>
    </row>
    <row r="1136">
      <c r="A1136" s="40" t="n"/>
      <c r="B1136" s="40" t="inlineStr">
        <is>
          <t>Outras</t>
        </is>
      </c>
      <c r="D1136" s="67" t="inlineStr">
        <is>
          <t>Renata Francisco Becker</t>
        </is>
      </c>
      <c r="E1136" s="62" t="n">
        <v>45617</v>
      </c>
      <c r="I1136" s="67" t="inlineStr">
        <is>
          <t>0001380-58.2025.5.12.0055</t>
        </is>
      </c>
      <c r="J1136" s="67" t="inlineStr">
        <is>
          <t>Prazo</t>
        </is>
      </c>
      <c r="K1136" s="62" t="n">
        <v>46066</v>
      </c>
      <c r="L1136" s="67" t="inlineStr">
        <is>
          <t>Luci</t>
        </is>
      </c>
      <c r="M1136" s="40" t="inlineStr">
        <is>
          <t>Cumprido</t>
        </is>
      </c>
      <c r="N1136" s="62" t="n">
        <v>46066</v>
      </c>
      <c r="O1136" s="67" t="inlineStr">
        <is>
          <t>Recurso Ordinário</t>
        </is>
      </c>
    </row>
    <row r="1137">
      <c r="A1137" s="40" t="inlineStr">
        <is>
          <t>5066602-05.2024.8.24.0000</t>
        </is>
      </c>
      <c r="B1137" s="40" t="inlineStr">
        <is>
          <t>Outras</t>
        </is>
      </c>
      <c r="D1137" s="67" t="inlineStr">
        <is>
          <t>Renata Francisco Becker</t>
        </is>
      </c>
      <c r="E1137" s="62" t="n">
        <v>45594</v>
      </c>
      <c r="F1137" s="67" t="inlineStr"/>
      <c r="I1137" s="67" t="inlineStr">
        <is>
          <t>50380204920254040000</t>
        </is>
      </c>
      <c r="J1137" s="67" t="inlineStr">
        <is>
          <t>Prazo</t>
        </is>
      </c>
      <c r="K1137" s="62" t="n">
        <v>46066</v>
      </c>
      <c r="L1137" s="67" t="inlineStr">
        <is>
          <t>Jessica</t>
        </is>
      </c>
      <c r="M1137" s="40" t="inlineStr">
        <is>
          <t>Cumprido</t>
        </is>
      </c>
      <c r="N1137" s="62" t="n">
        <v>46066</v>
      </c>
      <c r="O1137" s="67" t="inlineStr">
        <is>
          <t xml:space="preserve">Sustentação Oral </t>
        </is>
      </c>
    </row>
    <row r="1138">
      <c r="A1138" s="40" t="inlineStr">
        <is>
          <t>50053888920248240007</t>
        </is>
      </c>
      <c r="B1138" s="40" t="inlineStr">
        <is>
          <t>Outras</t>
        </is>
      </c>
      <c r="D1138" s="67" t="inlineStr">
        <is>
          <t>Renata Francisco Becker</t>
        </is>
      </c>
      <c r="E1138" s="62" t="n">
        <v>45476</v>
      </c>
      <c r="F1138" s="67" t="inlineStr"/>
      <c r="I1138" s="67" t="inlineStr"/>
      <c r="J1138" s="67" t="inlineStr">
        <is>
          <t>Prazo</t>
        </is>
      </c>
      <c r="K1138" s="62" t="n">
        <v>46066</v>
      </c>
      <c r="L1138" s="67" t="inlineStr">
        <is>
          <t>Julia</t>
        </is>
      </c>
      <c r="M1138" s="40" t="inlineStr">
        <is>
          <t>Cumprido</t>
        </is>
      </c>
      <c r="N1138" s="62" t="n">
        <v>46066</v>
      </c>
      <c r="O1138" s="67" t="inlineStr">
        <is>
          <t>URGENTE - Prorrogar o benefício Rafael</t>
        </is>
      </c>
    </row>
    <row r="1139">
      <c r="A1139" s="40" t="n"/>
      <c r="B1139" s="40" t="inlineStr">
        <is>
          <t>Outras</t>
        </is>
      </c>
      <c r="D1139" s="67" t="inlineStr">
        <is>
          <t>Pedro Victor</t>
        </is>
      </c>
      <c r="E1139" s="62" t="n">
        <v>45665</v>
      </c>
      <c r="I1139" s="67" t="inlineStr"/>
      <c r="J1139" s="67" t="inlineStr">
        <is>
          <t>Tarefa</t>
        </is>
      </c>
      <c r="K1139" s="62" t="n">
        <v>46066</v>
      </c>
      <c r="L1139" s="67" t="inlineStr">
        <is>
          <t xml:space="preserve">Lucas </t>
        </is>
      </c>
      <c r="M1139" s="40" t="inlineStr">
        <is>
          <t>Cumprido</t>
        </is>
      </c>
      <c r="N1139" s="62" t="n">
        <v>46066</v>
      </c>
      <c r="O1139" s="67" t="inlineStr">
        <is>
          <t>13/02/2026 - CONFERIR ATIVIDADES MONITORADAS</t>
        </is>
      </c>
    </row>
    <row r="1140">
      <c r="A1140" s="40" t="n"/>
      <c r="B1140" s="40" t="inlineStr">
        <is>
          <t>Outras</t>
        </is>
      </c>
      <c r="D1140" s="67" t="inlineStr">
        <is>
          <t>Pedro Victor</t>
        </is>
      </c>
      <c r="E1140" s="62" t="n">
        <v>45712</v>
      </c>
      <c r="I1140" s="67" t="inlineStr"/>
      <c r="J1140" s="67" t="inlineStr">
        <is>
          <t>Tarefa</t>
        </is>
      </c>
      <c r="K1140" s="62" t="n">
        <v>46066</v>
      </c>
      <c r="L1140" s="67" t="inlineStr">
        <is>
          <t>Julia</t>
        </is>
      </c>
      <c r="M1140" s="40" t="inlineStr">
        <is>
          <t>Cumprido</t>
        </is>
      </c>
      <c r="N1140" s="62" t="n">
        <v>46066</v>
      </c>
      <c r="O1140" s="67" t="inlineStr">
        <is>
          <t>Elaboração</t>
        </is>
      </c>
    </row>
    <row r="1141">
      <c r="A1141" s="40" t="n"/>
      <c r="B1141" s="40" t="inlineStr">
        <is>
          <t>Outras</t>
        </is>
      </c>
      <c r="D1141" s="67" t="inlineStr">
        <is>
          <t>Renata Francisco Becker</t>
        </is>
      </c>
      <c r="E1141" s="62" t="n">
        <v>45716</v>
      </c>
      <c r="I1141" s="67" t="inlineStr">
        <is>
          <t>0001380-58.2025.5.12.0055</t>
        </is>
      </c>
      <c r="J1141" s="67" t="inlineStr">
        <is>
          <t>Tarefa</t>
        </is>
      </c>
      <c r="K1141" s="62" t="n">
        <v>46066</v>
      </c>
      <c r="L1141" s="67" t="inlineStr">
        <is>
          <t>Luci</t>
        </is>
      </c>
      <c r="M1141" s="40" t="inlineStr">
        <is>
          <t>Cumprido</t>
        </is>
      </c>
      <c r="N1141" s="62" t="n">
        <v>46066</v>
      </c>
      <c r="O1141" s="67" t="inlineStr">
        <is>
          <t>Emitir guia preparo e deposito recursal</t>
        </is>
      </c>
    </row>
    <row r="1142">
      <c r="A1142" s="40" t="inlineStr">
        <is>
          <t>5007443-60.2018.4.04.7202</t>
        </is>
      </c>
      <c r="B1142" s="40" t="inlineStr">
        <is>
          <t>Outras</t>
        </is>
      </c>
      <c r="D1142" s="67" t="inlineStr">
        <is>
          <t>Renata Francisco Becker</t>
        </is>
      </c>
      <c r="E1142" s="62" t="n">
        <v>45600</v>
      </c>
      <c r="F1142" s="67" t="inlineStr">
        <is>
          <t>Juízo Federal da Central de Controle e Apoio em Execução Fiscal</t>
        </is>
      </c>
      <c r="I1142" s="67" t="inlineStr">
        <is>
          <t>5011355-42.2025.8.24.0020</t>
        </is>
      </c>
      <c r="J1142" s="67" t="inlineStr">
        <is>
          <t>Tarefa</t>
        </is>
      </c>
      <c r="K1142" s="62" t="n">
        <v>46066</v>
      </c>
      <c r="L1142" s="67" t="inlineStr">
        <is>
          <t xml:space="preserve">Alexia </t>
        </is>
      </c>
      <c r="M1142" s="40" t="inlineStr">
        <is>
          <t>Cumprido</t>
        </is>
      </c>
      <c r="N1142" s="62" t="n">
        <v>46066</v>
      </c>
      <c r="O1142" s="67" t="inlineStr">
        <is>
          <t>Emitir guia recursal</t>
        </is>
      </c>
    </row>
    <row r="1143">
      <c r="A1143" s="40" t="inlineStr">
        <is>
          <t>5004701-78.2021.8.24.0020</t>
        </is>
      </c>
      <c r="B1143" s="40" t="inlineStr">
        <is>
          <t>Outras</t>
        </is>
      </c>
      <c r="D1143" s="67" t="inlineStr">
        <is>
          <t>Renata Francisco Becker</t>
        </is>
      </c>
      <c r="E1143" s="62" t="n">
        <v>44719</v>
      </c>
      <c r="F1143" s="67" t="inlineStr">
        <is>
          <t>Juízo da 4ª Vara Cível da Comarca de Criciúma</t>
        </is>
      </c>
      <c r="I1143" s="67" t="inlineStr">
        <is>
          <t>5012518-57.2025.8.24.0020</t>
        </is>
      </c>
      <c r="J1143" s="67" t="inlineStr">
        <is>
          <t>Tarefa</t>
        </is>
      </c>
      <c r="K1143" s="62" t="n">
        <v>46066</v>
      </c>
      <c r="L1143" s="67" t="inlineStr">
        <is>
          <t xml:space="preserve">Alexia </t>
        </is>
      </c>
      <c r="M1143" s="40" t="inlineStr">
        <is>
          <t>Cumprido</t>
        </is>
      </c>
      <c r="N1143" s="62" t="n">
        <v>46066</v>
      </c>
      <c r="O1143" s="67" t="inlineStr">
        <is>
          <t>Emitir guia recursal</t>
        </is>
      </c>
    </row>
    <row r="1144">
      <c r="A1144" s="40" t="inlineStr">
        <is>
          <t>5002573-30.2024.8.24.0166</t>
        </is>
      </c>
      <c r="B1144" s="40" t="inlineStr">
        <is>
          <t>Outras</t>
        </is>
      </c>
      <c r="D1144" s="67" t="inlineStr">
        <is>
          <t>Renata Francisco Becker</t>
        </is>
      </c>
      <c r="E1144" s="62" t="n">
        <v>45569</v>
      </c>
      <c r="F1144" s="67" t="inlineStr"/>
      <c r="I1144" s="67" t="inlineStr"/>
      <c r="J1144" s="67" t="inlineStr">
        <is>
          <t>Tarefa</t>
        </is>
      </c>
      <c r="K1144" s="62" t="n">
        <v>46066</v>
      </c>
      <c r="L1144" s="67" t="inlineStr">
        <is>
          <t>Luci</t>
        </is>
      </c>
      <c r="M1144" s="40" t="inlineStr">
        <is>
          <t>Cumprido</t>
        </is>
      </c>
      <c r="N1144" s="62" t="n">
        <v>46066</v>
      </c>
      <c r="O1144" s="67" t="inlineStr">
        <is>
          <t xml:space="preserve">EMPRESARIAL - Iniciar construção de um estatuto social dessa associação. conversar com o macoe entender o objeto, quem pdoem ou não ser membros.. enfim, estudar como se constitui uma associação </t>
        </is>
      </c>
    </row>
    <row r="1145">
      <c r="A1145" s="40" t="n"/>
      <c r="B1145" s="40" t="inlineStr">
        <is>
          <t>Outras</t>
        </is>
      </c>
      <c r="D1145" s="67" t="inlineStr">
        <is>
          <t>Renata Francisco Becker</t>
        </is>
      </c>
      <c r="E1145" s="62" t="n">
        <v>45705</v>
      </c>
      <c r="I1145" s="67" t="inlineStr"/>
      <c r="J1145" s="67" t="inlineStr">
        <is>
          <t>Tarefa</t>
        </is>
      </c>
      <c r="K1145" s="62" t="n">
        <v>46066</v>
      </c>
      <c r="L1145" s="67" t="inlineStr">
        <is>
          <t xml:space="preserve">Lucas </t>
        </is>
      </c>
      <c r="M1145" s="40" t="inlineStr">
        <is>
          <t>Cumprido</t>
        </is>
      </c>
      <c r="N1145" s="62" t="n">
        <v>46066</v>
      </c>
      <c r="O1145" s="67" t="inlineStr">
        <is>
          <t>Implementação (Documentos e orientações)</t>
        </is>
      </c>
    </row>
    <row r="1146">
      <c r="A1146" s="40" t="n"/>
      <c r="B1146" s="40" t="inlineStr">
        <is>
          <t>Outras</t>
        </is>
      </c>
      <c r="D1146" s="67" t="inlineStr">
        <is>
          <t xml:space="preserve">Lucas </t>
        </is>
      </c>
      <c r="E1146" s="62" t="n">
        <v>45713</v>
      </c>
      <c r="F1146" s="67" t="inlineStr"/>
      <c r="I1146" s="67" t="inlineStr">
        <is>
          <t>5007226-28.2024.8.24.0020</t>
        </is>
      </c>
      <c r="J1146" s="67" t="inlineStr">
        <is>
          <t>Tarefa</t>
        </is>
      </c>
      <c r="K1146" s="62" t="n">
        <v>46066</v>
      </c>
      <c r="L1146" s="67" t="inlineStr">
        <is>
          <t>Renata Francisco Becker</t>
        </is>
      </c>
      <c r="M1146" s="40" t="inlineStr">
        <is>
          <t>Cumprido</t>
        </is>
      </c>
      <c r="N1146" s="62" t="n">
        <v>46066</v>
      </c>
      <c r="O1146" s="67" t="inlineStr">
        <is>
          <t>Revisão</t>
        </is>
      </c>
    </row>
    <row r="1147">
      <c r="A1147" s="40" t="inlineStr">
        <is>
          <t>5000011-23.2014.8.24.0029</t>
        </is>
      </c>
      <c r="B1147" s="40" t="inlineStr">
        <is>
          <t>Outras</t>
        </is>
      </c>
      <c r="D1147" s="67" t="inlineStr">
        <is>
          <t>Renata Francisco Becker</t>
        </is>
      </c>
      <c r="E1147" s="62" t="n">
        <v>45117</v>
      </c>
      <c r="F1147" s="67" t="inlineStr"/>
      <c r="I1147" s="67" t="inlineStr"/>
      <c r="J1147" s="67" t="inlineStr">
        <is>
          <t>Tarefa</t>
        </is>
      </c>
      <c r="K1147" s="62" t="n">
        <v>46066</v>
      </c>
      <c r="L1147" s="67" t="inlineStr">
        <is>
          <t>Marelize Controladoria</t>
        </is>
      </c>
      <c r="M1147" s="40" t="inlineStr">
        <is>
          <t>Cumprido</t>
        </is>
      </c>
      <c r="N1147" s="62" t="n">
        <v>46066</v>
      </c>
      <c r="O1147" s="67" t="inlineStr">
        <is>
          <t>13/02/2026 - Conferir prazos no TJs - TJSC - TJRS - TRT12 - TRF4 - JFSC - TJRJ - TJPR - TJPA - TJSP - TJGO;</t>
        </is>
      </c>
    </row>
    <row r="1148">
      <c r="A1148" s="40" t="n"/>
      <c r="B1148" s="40" t="inlineStr">
        <is>
          <t>Outras</t>
        </is>
      </c>
      <c r="D1148" s="67" t="inlineStr">
        <is>
          <t>Pedro Victor</t>
        </is>
      </c>
      <c r="E1148" s="62" t="n">
        <v>45700</v>
      </c>
      <c r="I1148" s="67" t="inlineStr"/>
      <c r="J1148" s="67" t="inlineStr">
        <is>
          <t>Tarefa</t>
        </is>
      </c>
      <c r="K1148" s="62" t="n">
        <v>46066</v>
      </c>
      <c r="L1148" s="67" t="inlineStr">
        <is>
          <t>Marelize Controladoria</t>
        </is>
      </c>
      <c r="M1148" s="40" t="inlineStr">
        <is>
          <t>Cumprido</t>
        </is>
      </c>
      <c r="N1148" s="62" t="n">
        <v>46066</v>
      </c>
      <c r="O1148" s="67" t="inlineStr">
        <is>
          <t xml:space="preserve">13/02/2026 - Entrega de relatório mensal dos advogados </t>
        </is>
      </c>
    </row>
    <row r="1149">
      <c r="A1149" s="40" t="inlineStr">
        <is>
          <t>110.24.00134</t>
        </is>
      </c>
      <c r="B1149" s="40" t="inlineStr">
        <is>
          <t>Outras</t>
        </is>
      </c>
      <c r="D1149" s="67" t="inlineStr">
        <is>
          <t>Pedro Victor</t>
        </is>
      </c>
      <c r="E1149" s="62" t="n">
        <v>45714</v>
      </c>
      <c r="F1149" s="67" t="inlineStr"/>
      <c r="I1149" s="67" t="inlineStr"/>
      <c r="J1149" s="67" t="inlineStr">
        <is>
          <t>Tarefa</t>
        </is>
      </c>
      <c r="K1149" s="62" t="n">
        <v>46066</v>
      </c>
      <c r="L1149" s="67" t="inlineStr">
        <is>
          <t>Marelize Controladoria</t>
        </is>
      </c>
      <c r="M1149" s="40" t="inlineStr">
        <is>
          <t>Cumprido</t>
        </is>
      </c>
      <c r="N1149" s="62" t="n">
        <v>46066</v>
      </c>
      <c r="O1149" s="67" t="inlineStr">
        <is>
          <t>13/02/2026 - Fazer Agendas.</t>
        </is>
      </c>
    </row>
    <row r="1150">
      <c r="A1150" s="40" t="n"/>
      <c r="B1150" s="40" t="inlineStr">
        <is>
          <t>Outras</t>
        </is>
      </c>
      <c r="D1150" s="67" t="inlineStr">
        <is>
          <t>Pedro Victor</t>
        </is>
      </c>
      <c r="E1150" s="62" t="n">
        <v>45716</v>
      </c>
      <c r="I1150" s="67" t="inlineStr"/>
      <c r="J1150" s="67" t="inlineStr">
        <is>
          <t>Tarefa</t>
        </is>
      </c>
      <c r="K1150" s="62" t="n">
        <v>46066</v>
      </c>
      <c r="L1150" s="67" t="inlineStr">
        <is>
          <t>Marelize Controladoria</t>
        </is>
      </c>
      <c r="M1150" s="40" t="inlineStr">
        <is>
          <t>Cumprido</t>
        </is>
      </c>
      <c r="N1150" s="62" t="n">
        <v>46066</v>
      </c>
      <c r="O1150" s="67" t="inlineStr">
        <is>
          <t>13/02/2026 - Fazer Publicações.</t>
        </is>
      </c>
    </row>
    <row r="1151">
      <c r="A1151" s="40" t="inlineStr">
        <is>
          <t>5005977-25.2018.4.04.7204</t>
        </is>
      </c>
      <c r="B1151" s="40" t="inlineStr">
        <is>
          <t>Outras</t>
        </is>
      </c>
      <c r="D1151" s="67" t="inlineStr">
        <is>
          <t>Renata Francisco Becker</t>
        </is>
      </c>
      <c r="E1151" s="62" t="n">
        <v>44741</v>
      </c>
      <c r="F1151" s="67" t="inlineStr">
        <is>
          <t>Juízo Substituto da 4ª VF de Criciúma</t>
        </is>
      </c>
      <c r="I1151" s="67" t="inlineStr"/>
      <c r="J1151" s="67" t="inlineStr">
        <is>
          <t>Tarefa</t>
        </is>
      </c>
      <c r="K1151" s="62" t="n">
        <v>46066</v>
      </c>
      <c r="L1151" s="67" t="inlineStr">
        <is>
          <t>Marelize Controladoria</t>
        </is>
      </c>
      <c r="M1151" s="40" t="inlineStr">
        <is>
          <t>Cumprido</t>
        </is>
      </c>
      <c r="N1151" s="62" t="n">
        <v>46066</v>
      </c>
      <c r="O1151" s="67" t="inlineStr">
        <is>
          <t>13/02/2026 - Olhar E-mails.</t>
        </is>
      </c>
    </row>
    <row r="1152">
      <c r="A1152" s="40" t="inlineStr">
        <is>
          <t>5008475-94.2018.4.04.7204</t>
        </is>
      </c>
      <c r="B1152" s="40" t="inlineStr">
        <is>
          <t>Outras</t>
        </is>
      </c>
      <c r="D1152" s="67" t="inlineStr">
        <is>
          <t>Renata Francisco Becker</t>
        </is>
      </c>
      <c r="E1152" s="62" t="n">
        <v>44712</v>
      </c>
      <c r="F1152" s="67" t="inlineStr">
        <is>
          <t>Juízo Substituto da 4ª VF de Criciúma</t>
        </is>
      </c>
      <c r="I1152" s="67" t="inlineStr"/>
      <c r="J1152" s="67" t="inlineStr">
        <is>
          <t>Tarefa</t>
        </is>
      </c>
      <c r="K1152" s="62" t="n">
        <v>46066</v>
      </c>
      <c r="L1152" s="67" t="inlineStr">
        <is>
          <t>Marelize Controladoria</t>
        </is>
      </c>
      <c r="M1152" s="40" t="inlineStr">
        <is>
          <t>Cumprido</t>
        </is>
      </c>
      <c r="N1152" s="62" t="n">
        <v>46066</v>
      </c>
      <c r="O1152" s="67" t="inlineStr">
        <is>
          <t>13/02/2026 - Relatório semanal de índice de demandas feita por Advogado.</t>
        </is>
      </c>
    </row>
    <row r="1153">
      <c r="A1153" s="40" t="inlineStr">
        <is>
          <t>5012240-39.2019.4.04.7204</t>
        </is>
      </c>
      <c r="B1153" s="40" t="inlineStr">
        <is>
          <t>Outras</t>
        </is>
      </c>
      <c r="D1153" s="67" t="inlineStr">
        <is>
          <t>Renata Francisco Becker</t>
        </is>
      </c>
      <c r="E1153" s="62" t="n">
        <v>44719</v>
      </c>
      <c r="F1153" s="67" t="inlineStr">
        <is>
          <t>Juízo Federal da 4ª VF de Criciúma</t>
        </is>
      </c>
      <c r="I1153" s="67" t="inlineStr"/>
      <c r="J1153" s="67" t="inlineStr">
        <is>
          <t>Tarefa</t>
        </is>
      </c>
      <c r="K1153" s="62" t="n">
        <v>46066</v>
      </c>
      <c r="L1153" s="67" t="inlineStr">
        <is>
          <t>Luci</t>
        </is>
      </c>
      <c r="M1153" s="40" t="inlineStr">
        <is>
          <t>Cumprido</t>
        </is>
      </c>
      <c r="N1153" s="62" t="n">
        <v>46066</v>
      </c>
      <c r="O1153" s="67" t="inlineStr">
        <is>
          <t>13/02/2026 - Verificar atividades monitoradas</t>
        </is>
      </c>
    </row>
    <row r="1154">
      <c r="A1154" s="40" t="inlineStr">
        <is>
          <t>5006219-81.2018.4.04.7204</t>
        </is>
      </c>
      <c r="B1154" s="40" t="inlineStr">
        <is>
          <t>Outras</t>
        </is>
      </c>
      <c r="D1154" s="67" t="inlineStr">
        <is>
          <t>Renata Francisco Becker</t>
        </is>
      </c>
      <c r="E1154" s="62" t="n">
        <v>44708</v>
      </c>
      <c r="F1154" s="67" t="inlineStr">
        <is>
          <t>Juízo Federal da 4ª VF de Criciúma</t>
        </is>
      </c>
      <c r="I1154" s="67" t="inlineStr">
        <is>
          <t>0000059-93.2026.5.12.0041</t>
        </is>
      </c>
      <c r="J1154" s="67" t="inlineStr">
        <is>
          <t>Tarefa</t>
        </is>
      </c>
      <c r="K1154" s="62" t="n">
        <v>46066</v>
      </c>
      <c r="L1154" s="67" t="inlineStr">
        <is>
          <t>Luci</t>
        </is>
      </c>
      <c r="M1154" s="40" t="inlineStr">
        <is>
          <t>Cumprido</t>
        </is>
      </c>
      <c r="N1154" s="62" t="n">
        <v>46066</v>
      </c>
      <c r="O1154" s="67" t="inlineStr">
        <is>
          <t>Arguição de Incomepetencia</t>
        </is>
      </c>
    </row>
    <row r="1155">
      <c r="A1155" s="40" t="inlineStr">
        <is>
          <t>5006328-95.2018.4.04.7204</t>
        </is>
      </c>
      <c r="B1155" s="40" t="inlineStr">
        <is>
          <t>Outras</t>
        </is>
      </c>
      <c r="D1155" s="67" t="inlineStr">
        <is>
          <t>Renata Francisco Becker</t>
        </is>
      </c>
      <c r="E1155" s="62" t="n">
        <v>44741</v>
      </c>
      <c r="F1155" s="67" t="inlineStr">
        <is>
          <t>Juízo Substituto da 4ª VF de Criciúma</t>
        </is>
      </c>
      <c r="I1155" s="67" t="inlineStr"/>
      <c r="J1155" s="67" t="inlineStr">
        <is>
          <t>Tarefa</t>
        </is>
      </c>
      <c r="K1155" s="62" t="n">
        <v>46066</v>
      </c>
      <c r="L1155" s="67" t="inlineStr">
        <is>
          <t xml:space="preserve">Alexia </t>
        </is>
      </c>
      <c r="M1155" s="40" t="inlineStr">
        <is>
          <t>Cumprido</t>
        </is>
      </c>
      <c r="N1155" s="62" t="n">
        <v>46066</v>
      </c>
      <c r="O1155" s="67" t="inlineStr">
        <is>
          <t xml:space="preserve">Fazer inicial </t>
        </is>
      </c>
    </row>
    <row r="1156">
      <c r="A1156" s="40" t="inlineStr">
        <is>
          <t>5006363-55.2018.4.04.7204</t>
        </is>
      </c>
      <c r="B1156" s="40" t="inlineStr">
        <is>
          <t>Outras</t>
        </is>
      </c>
      <c r="D1156" s="67" t="inlineStr">
        <is>
          <t>Renata Francisco Becker</t>
        </is>
      </c>
      <c r="E1156" s="62" t="n">
        <v>44719</v>
      </c>
      <c r="F1156" s="67" t="inlineStr">
        <is>
          <t>Juízo Federal da 4ª VF de Criciúma</t>
        </is>
      </c>
      <c r="I1156" s="67" t="inlineStr"/>
      <c r="J1156" s="67" t="inlineStr">
        <is>
          <t>Tarefa</t>
        </is>
      </c>
      <c r="K1156" s="62" t="n">
        <v>46066</v>
      </c>
      <c r="L1156" s="67" t="inlineStr">
        <is>
          <t>Marelize Controladoria</t>
        </is>
      </c>
      <c r="M1156" s="40" t="inlineStr">
        <is>
          <t>Cumprido</t>
        </is>
      </c>
      <c r="N1156" s="62" t="n">
        <v>46066</v>
      </c>
      <c r="O1156" s="67" t="inlineStr">
        <is>
          <t>Preencher cadastros dos clientes novos 
1. CRESCI PERDI GOIANIA
2 LÍDIA TURISMO
3 ZAMPIER</t>
        </is>
      </c>
    </row>
    <row r="1157">
      <c r="A1157" s="40" t="inlineStr">
        <is>
          <t>5006105-38.2024.8.24.0028</t>
        </is>
      </c>
      <c r="B1157" s="40" t="inlineStr">
        <is>
          <t>Outras</t>
        </is>
      </c>
      <c r="D1157" s="67" t="inlineStr">
        <is>
          <t>Renata Francisco Becker</t>
        </is>
      </c>
      <c r="E1157" s="62" t="n">
        <v>45555</v>
      </c>
      <c r="F1157" s="67" t="inlineStr">
        <is>
          <t>Juízo da 2ª Vara Cível da Comarca de Içara</t>
        </is>
      </c>
      <c r="I1157" s="67" t="inlineStr"/>
      <c r="J1157" s="67" t="inlineStr">
        <is>
          <t>Tarefa</t>
        </is>
      </c>
      <c r="K1157" s="62" t="n">
        <v>46066</v>
      </c>
      <c r="L1157" s="67" t="inlineStr">
        <is>
          <t>Luci</t>
        </is>
      </c>
      <c r="M1157" s="40" t="inlineStr">
        <is>
          <t>Cumprido</t>
        </is>
      </c>
      <c r="N1157" s="62" t="n">
        <v>46066</v>
      </c>
      <c r="O1157" s="67" t="inlineStr">
        <is>
          <t>Protocolo</t>
        </is>
      </c>
    </row>
    <row r="1158">
      <c r="A1158" s="40" t="inlineStr">
        <is>
          <t>5005848-83.2019.4.04.7204</t>
        </is>
      </c>
      <c r="B1158" s="40" t="inlineStr">
        <is>
          <t>Outras</t>
        </is>
      </c>
      <c r="D1158" s="67" t="inlineStr">
        <is>
          <t>Pedro Victor</t>
        </is>
      </c>
      <c r="E1158" s="62" t="n">
        <v>45166</v>
      </c>
      <c r="F1158" s="67" t="inlineStr"/>
      <c r="I1158" s="67" t="inlineStr"/>
      <c r="J1158" s="67" t="inlineStr">
        <is>
          <t>Tarefa</t>
        </is>
      </c>
      <c r="K1158" s="62" t="n">
        <v>46066</v>
      </c>
      <c r="L1158" s="67" t="inlineStr">
        <is>
          <t xml:space="preserve">Lucas </t>
        </is>
      </c>
      <c r="M1158" s="40" t="inlineStr">
        <is>
          <t>Cumprido</t>
        </is>
      </c>
      <c r="N1158" s="62" t="n">
        <v>46066</v>
      </c>
      <c r="O1158" s="67" t="inlineStr">
        <is>
          <t>Protocolo</t>
        </is>
      </c>
    </row>
    <row r="1159">
      <c r="A1159" s="40" t="inlineStr">
        <is>
          <t>5006002-38.2018.4.04.7204</t>
        </is>
      </c>
      <c r="B1159" s="40" t="inlineStr">
        <is>
          <t>Outras</t>
        </is>
      </c>
      <c r="D1159" s="67" t="inlineStr">
        <is>
          <t>Renata Francisco Becker</t>
        </is>
      </c>
      <c r="E1159" s="62" t="n">
        <v>44719</v>
      </c>
      <c r="F1159" s="67" t="inlineStr">
        <is>
          <t>Juízo Federal da 4ª VF de Criciúma</t>
        </is>
      </c>
      <c r="I1159" s="67" t="inlineStr"/>
      <c r="J1159" s="67" t="inlineStr">
        <is>
          <t>Tarefa</t>
        </is>
      </c>
      <c r="K1159" s="62" t="n">
        <v>46066</v>
      </c>
      <c r="L1159" s="67" t="inlineStr">
        <is>
          <t>Renata Francisco Becker</t>
        </is>
      </c>
      <c r="M1159" s="40" t="inlineStr">
        <is>
          <t>Cumprido</t>
        </is>
      </c>
      <c r="N1159" s="62" t="n">
        <v>46066</v>
      </c>
      <c r="O1159" s="67" t="inlineStr">
        <is>
          <t>Revisão</t>
        </is>
      </c>
    </row>
    <row r="1160">
      <c r="A1160" s="40" t="inlineStr">
        <is>
          <t>5000990-23.2025.4.03.6332</t>
        </is>
      </c>
      <c r="B1160" s="40" t="inlineStr">
        <is>
          <t>Outras</t>
        </is>
      </c>
      <c r="D1160" s="67" t="inlineStr">
        <is>
          <t>Pedro Victor</t>
        </is>
      </c>
      <c r="E1160" s="62" t="n">
        <v>45631</v>
      </c>
      <c r="F1160" s="67" t="inlineStr"/>
      <c r="I1160" s="67" t="inlineStr">
        <is>
          <t>50235352720248240020</t>
        </is>
      </c>
      <c r="J1160" s="67" t="inlineStr">
        <is>
          <t>Tarefa</t>
        </is>
      </c>
      <c r="K1160" s="62" t="n">
        <v>46066</v>
      </c>
      <c r="L1160" s="67" t="inlineStr">
        <is>
          <t>Renata Francisco Becker</t>
        </is>
      </c>
      <c r="M1160" s="40" t="inlineStr">
        <is>
          <t>Cumprido</t>
        </is>
      </c>
      <c r="N1160" s="62" t="n">
        <v>46066</v>
      </c>
      <c r="O1160" s="67" t="inlineStr">
        <is>
          <t xml:space="preserve">Revisão - Vivendas
</t>
        </is>
      </c>
    </row>
    <row r="1161">
      <c r="A1161" s="40" t="inlineStr">
        <is>
          <t>5002911-25.2022.8.24.0020</t>
        </is>
      </c>
      <c r="B1161" s="40" t="inlineStr">
        <is>
          <t>Outras</t>
        </is>
      </c>
      <c r="D1161" s="67" t="inlineStr">
        <is>
          <t>Renata Francisco Becker</t>
        </is>
      </c>
      <c r="E1161" s="62" t="n">
        <v>44705</v>
      </c>
      <c r="F1161" s="67" t="inlineStr"/>
      <c r="I1161" s="67" t="inlineStr">
        <is>
          <t>5003021-38.2023.8.24.0004</t>
        </is>
      </c>
      <c r="J1161" s="67" t="inlineStr">
        <is>
          <t>Tarefa</t>
        </is>
      </c>
      <c r="K1161" s="62" t="n">
        <v>46066</v>
      </c>
      <c r="L1161" s="67" t="inlineStr">
        <is>
          <t xml:space="preserve">Alexia </t>
        </is>
      </c>
      <c r="M1161" s="40" t="inlineStr">
        <is>
          <t>Cumprido</t>
        </is>
      </c>
      <c r="N1161" s="62" t="n">
        <v>46066</v>
      </c>
      <c r="O1161" s="67" t="inlineStr">
        <is>
          <t xml:space="preserve">VERIFICAR - Fazer Ação Rescisória </t>
        </is>
      </c>
    </row>
    <row r="1162">
      <c r="A1162" s="40" t="inlineStr">
        <is>
          <t>50037280620248240025</t>
        </is>
      </c>
      <c r="B1162" s="40" t="inlineStr">
        <is>
          <t>Outras</t>
        </is>
      </c>
      <c r="D1162" s="67" t="inlineStr">
        <is>
          <t>Renata Francisco Becker</t>
        </is>
      </c>
      <c r="E1162" s="62" t="n">
        <v>45456</v>
      </c>
      <c r="F1162" s="67" t="inlineStr"/>
      <c r="I1162" s="67" t="inlineStr"/>
      <c r="J1162" s="67" t="inlineStr">
        <is>
          <t>Tarefa</t>
        </is>
      </c>
      <c r="K1162" s="62" t="n">
        <v>46066</v>
      </c>
      <c r="L1162" s="67" t="inlineStr">
        <is>
          <t>Marelize Controladoria</t>
        </is>
      </c>
      <c r="M1162" s="40" t="inlineStr">
        <is>
          <t>Cumprido</t>
        </is>
      </c>
      <c r="N1162" s="62" t="n">
        <v>46066</v>
      </c>
      <c r="O1162" s="67" t="inlineStr">
        <is>
          <t>Ver se tem alguma demanda de extrema urgência e delegar</t>
        </is>
      </c>
    </row>
    <row r="1163">
      <c r="A1163" s="40" t="n"/>
      <c r="B1163" s="40" t="inlineStr">
        <is>
          <t>Outras</t>
        </is>
      </c>
      <c r="D1163" s="67" t="inlineStr">
        <is>
          <t>Pedro Victor</t>
        </is>
      </c>
      <c r="E1163" s="62" t="n">
        <v>45700</v>
      </c>
      <c r="I1163" s="67" t="inlineStr"/>
      <c r="J1163" s="67" t="inlineStr">
        <is>
          <t>Evento</t>
        </is>
      </c>
      <c r="K1163" s="62" t="n">
        <v>46066</v>
      </c>
      <c r="L1163" s="67" t="inlineStr">
        <is>
          <t>Pedro Victor</t>
        </is>
      </c>
      <c r="M1163" s="40" t="inlineStr">
        <is>
          <t>Cumprido</t>
        </is>
      </c>
      <c r="N1163" s="62" t="n">
        <v>46066</v>
      </c>
      <c r="O1163" s="67" t="inlineStr">
        <is>
          <t>Reunião SETEC</t>
        </is>
      </c>
    </row>
    <row r="1164">
      <c r="A1164" s="40" t="n"/>
      <c r="B1164" s="40" t="inlineStr">
        <is>
          <t>Outras</t>
        </is>
      </c>
      <c r="D1164" s="67" t="inlineStr">
        <is>
          <t>Renata Francisco Becker</t>
        </is>
      </c>
      <c r="E1164" s="62" t="n">
        <v>45705</v>
      </c>
      <c r="I1164" s="67" t="inlineStr"/>
      <c r="J1164" s="67" t="inlineStr">
        <is>
          <t>Evento</t>
        </is>
      </c>
      <c r="K1164" s="62" t="n">
        <v>46066</v>
      </c>
      <c r="L1164" s="67" t="inlineStr">
        <is>
          <t>Pedro Victor</t>
        </is>
      </c>
      <c r="M1164" s="40" t="inlineStr">
        <is>
          <t>Cumprido</t>
        </is>
      </c>
      <c r="N1164" s="62" t="n">
        <v>46066</v>
      </c>
      <c r="O1164" s="67" t="inlineStr">
        <is>
          <t xml:space="preserve">Atendimento com a Dra Karoline </t>
        </is>
      </c>
    </row>
    <row r="1165">
      <c r="A1165" s="40" t="inlineStr">
        <is>
          <t>5001046-60.2020.8.24.0044</t>
        </is>
      </c>
      <c r="B1165" s="40" t="inlineStr">
        <is>
          <t>Outras</t>
        </is>
      </c>
      <c r="D1165" s="67" t="inlineStr">
        <is>
          <t>Renata Francisco Becker</t>
        </is>
      </c>
      <c r="E1165" s="62" t="n">
        <v>44704</v>
      </c>
      <c r="F1165" s="67" t="inlineStr">
        <is>
          <t>Juízo da 1ª Vara da Comarca de Orleans</t>
        </is>
      </c>
      <c r="I1165" s="67" t="inlineStr"/>
      <c r="J1165" s="67" t="inlineStr">
        <is>
          <t>Evento</t>
        </is>
      </c>
      <c r="K1165" s="62" t="n">
        <v>46066</v>
      </c>
      <c r="L1165" s="67" t="inlineStr">
        <is>
          <t>Pedro Victor</t>
        </is>
      </c>
      <c r="M1165" s="40" t="inlineStr">
        <is>
          <t>Cumprido</t>
        </is>
      </c>
      <c r="N1165" s="62" t="n">
        <v>46066</v>
      </c>
      <c r="O1165" s="67" t="inlineStr">
        <is>
          <t>Reunião com Dr. Romeu</t>
        </is>
      </c>
    </row>
    <row r="1166">
      <c r="A1166" s="40" t="inlineStr">
        <is>
          <t>5001723-31.2021.8.24.0020</t>
        </is>
      </c>
      <c r="B1166" s="40" t="inlineStr">
        <is>
          <t>Outras</t>
        </is>
      </c>
      <c r="D1166" s="67" t="inlineStr">
        <is>
          <t>Renata Francisco Becker</t>
        </is>
      </c>
      <c r="E1166" s="62" t="n">
        <v>44761</v>
      </c>
      <c r="F1166" s="67" t="inlineStr">
        <is>
          <t>Juízo da 3ª Vara Cível da Comarca de Criciúma</t>
        </is>
      </c>
      <c r="I1166" s="67" t="inlineStr"/>
      <c r="J1166" s="67" t="inlineStr">
        <is>
          <t>Prazo</t>
        </is>
      </c>
      <c r="K1166" s="62" t="n">
        <v>46069</v>
      </c>
      <c r="L1166" s="67" t="inlineStr">
        <is>
          <t xml:space="preserve">Lucas </t>
        </is>
      </c>
      <c r="M1166" s="40" t="inlineStr">
        <is>
          <t>Cumprido</t>
        </is>
      </c>
      <c r="N1166" s="62" t="n">
        <v>46069</v>
      </c>
      <c r="O1166" s="67" t="inlineStr">
        <is>
          <t>Auditoria Trabalhista Cresci Perdi Criciúma</t>
        </is>
      </c>
    </row>
    <row r="1167">
      <c r="A1167" s="40" t="inlineStr">
        <is>
          <t>5001534-16.2020.8.24.0076</t>
        </is>
      </c>
      <c r="B1167" s="40" t="inlineStr">
        <is>
          <t>Outras</t>
        </is>
      </c>
      <c r="D1167" s="67" t="inlineStr">
        <is>
          <t>Renata Francisco Becker</t>
        </is>
      </c>
      <c r="E1167" s="62" t="n">
        <v>44719</v>
      </c>
      <c r="F1167" s="67" t="inlineStr">
        <is>
          <t>Juízo da Vara Única da Comarca de Turvo</t>
        </is>
      </c>
      <c r="I1167" s="67" t="inlineStr"/>
      <c r="J1167" s="67" t="inlineStr">
        <is>
          <t>Prazo</t>
        </is>
      </c>
      <c r="K1167" s="62" t="n">
        <v>46069</v>
      </c>
      <c r="L1167" s="67" t="inlineStr">
        <is>
          <t>Julia</t>
        </is>
      </c>
      <c r="M1167" s="40" t="inlineStr">
        <is>
          <t>Cumprido</t>
        </is>
      </c>
      <c r="N1167" s="62" t="n">
        <v>46069</v>
      </c>
      <c r="O1167" s="67" t="inlineStr">
        <is>
          <t>Contrato de locação para terreno de plantação de arroz JJ</t>
        </is>
      </c>
    </row>
    <row r="1168">
      <c r="A1168" s="40" t="inlineStr">
        <is>
          <t>5004430-30.2023.8.24.0075</t>
        </is>
      </c>
      <c r="B1168" s="40" t="inlineStr">
        <is>
          <t>Outras</t>
        </is>
      </c>
      <c r="D1168" s="67" t="inlineStr">
        <is>
          <t>Renata Francisco Becker</t>
        </is>
      </c>
      <c r="E1168" s="62" t="n">
        <v>45006</v>
      </c>
      <c r="F1168" s="67" t="inlineStr">
        <is>
          <t>Juízo do Juizado Especial Cível da Comarca de Tubarão</t>
        </is>
      </c>
      <c r="I1168" s="67" t="inlineStr">
        <is>
          <t>5035736-77.2025.8.24.0000</t>
        </is>
      </c>
      <c r="J1168" s="67" t="inlineStr">
        <is>
          <t>Prazo</t>
        </is>
      </c>
      <c r="K1168" s="62" t="n">
        <v>46069</v>
      </c>
      <c r="L1168" s="67" t="inlineStr">
        <is>
          <t>Renata Francisco Becker</t>
        </is>
      </c>
      <c r="M1168" s="40" t="inlineStr">
        <is>
          <t>Cumprido</t>
        </is>
      </c>
      <c r="N1168" s="62" t="n">
        <v>46069</v>
      </c>
      <c r="O1168" s="67" t="inlineStr">
        <is>
          <t>Embargos de Declaração</t>
        </is>
      </c>
    </row>
    <row r="1169">
      <c r="A1169" s="40" t="inlineStr">
        <is>
          <t>0000485-60.2020.5.12.0027</t>
        </is>
      </c>
      <c r="B1169" s="40" t="inlineStr">
        <is>
          <t>Outras</t>
        </is>
      </c>
      <c r="D1169" s="67" t="inlineStr">
        <is>
          <t>Renata Francisco Becker</t>
        </is>
      </c>
      <c r="E1169" s="62" t="n">
        <v>44708</v>
      </c>
      <c r="F1169" s="67" t="inlineStr">
        <is>
          <t>2ª VARA DO TRABALHO DE CRICIÚMA</t>
        </is>
      </c>
      <c r="I1169" s="67" t="inlineStr"/>
      <c r="J1169" s="67" t="inlineStr">
        <is>
          <t>Prazo</t>
        </is>
      </c>
      <c r="K1169" s="62" t="n">
        <v>46069</v>
      </c>
      <c r="L1169" s="67" t="inlineStr">
        <is>
          <t xml:space="preserve">Lucas </t>
        </is>
      </c>
      <c r="M1169" s="40" t="inlineStr">
        <is>
          <t>Cumprido</t>
        </is>
      </c>
      <c r="N1169" s="62" t="n">
        <v>46069</v>
      </c>
      <c r="O1169" s="67" t="inlineStr">
        <is>
          <t>Prazo</t>
        </is>
      </c>
    </row>
    <row r="1170">
      <c r="A1170" s="40" t="inlineStr">
        <is>
          <t>5004211-63.2020.4.04.7204</t>
        </is>
      </c>
      <c r="B1170" s="40" t="inlineStr">
        <is>
          <t>Outras</t>
        </is>
      </c>
      <c r="D1170" s="67" t="inlineStr">
        <is>
          <t>Renata Francisco Becker</t>
        </is>
      </c>
      <c r="E1170" s="62" t="n">
        <v>44824</v>
      </c>
      <c r="F1170" s="67" t="inlineStr">
        <is>
          <t>Juízo Federal da 4ª VF de Criciúma</t>
        </is>
      </c>
      <c r="I1170" s="67" t="inlineStr">
        <is>
          <t>5008937-34.2025.8.24.0020</t>
        </is>
      </c>
      <c r="J1170" s="67" t="inlineStr">
        <is>
          <t>Prazo</t>
        </is>
      </c>
      <c r="K1170" s="62" t="n">
        <v>46069</v>
      </c>
      <c r="L1170" s="67" t="inlineStr">
        <is>
          <t xml:space="preserve">Alexia </t>
        </is>
      </c>
      <c r="M1170" s="40" t="inlineStr">
        <is>
          <t>Cumprido</t>
        </is>
      </c>
      <c r="N1170" s="62" t="n">
        <v>46069</v>
      </c>
      <c r="O1170" s="67" t="inlineStr">
        <is>
          <t>Prazo</t>
        </is>
      </c>
    </row>
    <row r="1171">
      <c r="A1171" s="40" t="inlineStr">
        <is>
          <t>5005998-98.2018.4.04.7204</t>
        </is>
      </c>
      <c r="B1171" s="40" t="inlineStr">
        <is>
          <t>Outras</t>
        </is>
      </c>
      <c r="D1171" s="67" t="inlineStr">
        <is>
          <t>Renata Francisco Becker</t>
        </is>
      </c>
      <c r="E1171" s="62" t="n">
        <v>44741</v>
      </c>
      <c r="F1171" s="67" t="inlineStr">
        <is>
          <t>Juízo Substituto da 4ª VF de Criciúma</t>
        </is>
      </c>
      <c r="I1171" s="67" t="inlineStr">
        <is>
          <t>0001269-74.2025.5.12.0055</t>
        </is>
      </c>
      <c r="J1171" s="67" t="inlineStr">
        <is>
          <t>Prazo</t>
        </is>
      </c>
      <c r="K1171" s="62" t="n">
        <v>46069</v>
      </c>
      <c r="L1171" s="67" t="inlineStr">
        <is>
          <t>Luci</t>
        </is>
      </c>
      <c r="M1171" s="40" t="inlineStr">
        <is>
          <t>Cumprido</t>
        </is>
      </c>
      <c r="N1171" s="62" t="n">
        <v>46069</v>
      </c>
      <c r="O1171" s="67" t="inlineStr">
        <is>
          <t>Prazo</t>
        </is>
      </c>
    </row>
    <row r="1172">
      <c r="A1172" s="40" t="inlineStr">
        <is>
          <t>5004214-18.2020.4.04.7204</t>
        </is>
      </c>
      <c r="B1172" s="40" t="inlineStr">
        <is>
          <t>Outras</t>
        </is>
      </c>
      <c r="D1172" s="67" t="inlineStr">
        <is>
          <t>Renata Francisco Becker</t>
        </is>
      </c>
      <c r="E1172" s="62" t="n">
        <v>44809</v>
      </c>
      <c r="F1172" s="67" t="inlineStr">
        <is>
          <t>Juízo Substituto da 4ª VF de Criciúma</t>
        </is>
      </c>
      <c r="I1172" s="67" t="inlineStr">
        <is>
          <t>40013348420268260100</t>
        </is>
      </c>
      <c r="J1172" s="67" t="inlineStr">
        <is>
          <t>Prazo</t>
        </is>
      </c>
      <c r="K1172" s="62" t="n">
        <v>46069</v>
      </c>
      <c r="L1172" s="67" t="inlineStr">
        <is>
          <t xml:space="preserve">Alexia </t>
        </is>
      </c>
      <c r="M1172" s="40" t="inlineStr">
        <is>
          <t>Cumprido</t>
        </is>
      </c>
      <c r="N1172" s="62" t="n">
        <v>46069</v>
      </c>
      <c r="O1172" s="67" t="inlineStr">
        <is>
          <t>Prazo - monto</t>
        </is>
      </c>
    </row>
    <row r="1173">
      <c r="A1173" s="40" t="inlineStr">
        <is>
          <t>5006217-14.2018.4.04.7204</t>
        </is>
      </c>
      <c r="B1173" s="40" t="inlineStr">
        <is>
          <t>Outras</t>
        </is>
      </c>
      <c r="D1173" s="67" t="inlineStr">
        <is>
          <t>Renata Francisco Becker</t>
        </is>
      </c>
      <c r="E1173" s="62" t="n">
        <v>44741</v>
      </c>
      <c r="F1173" s="67" t="inlineStr">
        <is>
          <t>Juízo Substituto da 4ª VF de Criciúma</t>
        </is>
      </c>
      <c r="I1173" s="67" t="inlineStr"/>
      <c r="J1173" s="67" t="inlineStr">
        <is>
          <t>Prazo</t>
        </is>
      </c>
      <c r="K1173" s="62" t="n">
        <v>46069</v>
      </c>
      <c r="L1173" s="67" t="inlineStr">
        <is>
          <t xml:space="preserve">Lucas </t>
        </is>
      </c>
      <c r="M1173" s="40" t="inlineStr">
        <is>
          <t>Cumprido</t>
        </is>
      </c>
      <c r="N1173" s="62" t="n">
        <v>46069</v>
      </c>
      <c r="O1173" s="67" t="inlineStr">
        <is>
          <t>Prazo auditoria URGENTE</t>
        </is>
      </c>
    </row>
    <row r="1174">
      <c r="A1174" s="40" t="inlineStr">
        <is>
          <t>5005904-53.2018.4.04.7204</t>
        </is>
      </c>
      <c r="B1174" s="40" t="inlineStr">
        <is>
          <t>Outras</t>
        </is>
      </c>
      <c r="D1174" s="67" t="inlineStr">
        <is>
          <t>Renata Francisco Becker</t>
        </is>
      </c>
      <c r="E1174" s="62" t="n">
        <v>44719</v>
      </c>
      <c r="F1174" s="67" t="inlineStr">
        <is>
          <t>Juízo Federal da 4ª VF de Criciúma</t>
        </is>
      </c>
      <c r="I1174" s="67" t="inlineStr">
        <is>
          <t>0000168-46.2018.5.12.0055</t>
        </is>
      </c>
      <c r="J1174" s="67" t="inlineStr">
        <is>
          <t>Prazo</t>
        </is>
      </c>
      <c r="K1174" s="62" t="n">
        <v>46069</v>
      </c>
      <c r="L1174" s="67" t="inlineStr">
        <is>
          <t>Luci</t>
        </is>
      </c>
      <c r="M1174" s="40" t="inlineStr">
        <is>
          <t>Cumprido</t>
        </is>
      </c>
      <c r="N1174" s="62" t="n">
        <v>46069</v>
      </c>
      <c r="O1174" s="67" t="inlineStr">
        <is>
          <t>Sustentação Oral</t>
        </is>
      </c>
    </row>
    <row r="1175">
      <c r="A1175" s="40" t="inlineStr">
        <is>
          <t>5021935-05.2023.8.24.0020</t>
        </is>
      </c>
      <c r="B1175" s="40" t="inlineStr">
        <is>
          <t>Outras</t>
        </is>
      </c>
      <c r="D1175" s="67" t="inlineStr">
        <is>
          <t>Renata Francisco Becker</t>
        </is>
      </c>
      <c r="E1175" s="62" t="n">
        <v>45174</v>
      </c>
      <c r="F1175" s="67" t="inlineStr"/>
      <c r="I1175" s="67" t="inlineStr"/>
      <c r="J1175" s="67" t="inlineStr">
        <is>
          <t>Tarefa</t>
        </is>
      </c>
      <c r="K1175" s="62" t="n">
        <v>46069</v>
      </c>
      <c r="L1175" s="67" t="inlineStr">
        <is>
          <t xml:space="preserve">Lucas </t>
        </is>
      </c>
      <c r="M1175" s="40" t="inlineStr">
        <is>
          <t>Cumprido</t>
        </is>
      </c>
      <c r="N1175" s="62" t="n">
        <v>46069</v>
      </c>
      <c r="O1175" s="67" t="inlineStr">
        <is>
          <t>Elaboração (Confecção de documetos)</t>
        </is>
      </c>
    </row>
    <row r="1176">
      <c r="A1176" s="40" t="n"/>
      <c r="B1176" s="40" t="inlineStr">
        <is>
          <t>Outras</t>
        </is>
      </c>
      <c r="D1176" s="67" t="inlineStr">
        <is>
          <t>Pedro Victor</t>
        </is>
      </c>
      <c r="E1176" s="62" t="n">
        <v>45700</v>
      </c>
      <c r="I1176" s="67" t="inlineStr">
        <is>
          <t>5000540-03.2026.4.04.0000</t>
        </is>
      </c>
      <c r="J1176" s="67" t="inlineStr">
        <is>
          <t>Tarefa</t>
        </is>
      </c>
      <c r="K1176" s="62" t="n">
        <v>46069</v>
      </c>
      <c r="L1176" s="67" t="inlineStr">
        <is>
          <t>Renata Francisco Becker</t>
        </is>
      </c>
      <c r="M1176" s="40" t="inlineStr">
        <is>
          <t>Cumprido</t>
        </is>
      </c>
      <c r="N1176" s="62" t="n">
        <v>46069</v>
      </c>
      <c r="O1176" s="67" t="inlineStr">
        <is>
          <t>Revisão</t>
        </is>
      </c>
    </row>
    <row r="1177">
      <c r="A1177" s="40" t="n"/>
      <c r="B1177" s="40" t="inlineStr">
        <is>
          <t>Outras</t>
        </is>
      </c>
      <c r="D1177" s="67" t="inlineStr">
        <is>
          <t>Pedro Victor</t>
        </is>
      </c>
      <c r="E1177" s="62" t="n">
        <v>45681</v>
      </c>
      <c r="I1177" s="67" t="inlineStr">
        <is>
          <t>0001380-58.2025.5.12.0055</t>
        </is>
      </c>
      <c r="J1177" s="67" t="inlineStr">
        <is>
          <t>Tarefa</t>
        </is>
      </c>
      <c r="K1177" s="62" t="n">
        <v>46069</v>
      </c>
      <c r="L1177" s="67" t="inlineStr">
        <is>
          <t>Pedro Victor</t>
        </is>
      </c>
      <c r="M1177" s="40" t="inlineStr">
        <is>
          <t>Cumprido</t>
        </is>
      </c>
      <c r="N1177" s="62" t="n">
        <v>46069</v>
      </c>
      <c r="O1177" s="67" t="inlineStr">
        <is>
          <t>Revisão</t>
        </is>
      </c>
    </row>
    <row r="1178">
      <c r="A1178" s="40" t="inlineStr">
        <is>
          <t>5010668-14.2020.4.04.7204</t>
        </is>
      </c>
      <c r="B1178" s="40" t="inlineStr">
        <is>
          <t>Outras</t>
        </is>
      </c>
      <c r="D1178" s="67" t="inlineStr">
        <is>
          <t>Renata Francisco Becker</t>
        </is>
      </c>
      <c r="E1178" s="62" t="n">
        <v>44725</v>
      </c>
      <c r="F1178" s="67" t="inlineStr">
        <is>
          <t>Juízo Substituto da 4ª VF de Criciúma</t>
        </is>
      </c>
      <c r="I1178" s="67" t="inlineStr">
        <is>
          <t>5000540-03.2026.4.04.0000</t>
        </is>
      </c>
      <c r="J1178" s="67" t="inlineStr">
        <is>
          <t>Tarefa</t>
        </is>
      </c>
      <c r="K1178" s="62" t="n">
        <v>46069</v>
      </c>
      <c r="L1178" s="67" t="inlineStr">
        <is>
          <t>Jessica</t>
        </is>
      </c>
      <c r="M1178" s="40" t="inlineStr">
        <is>
          <t>Cumprido</t>
        </is>
      </c>
      <c r="N1178" s="62" t="n">
        <v>46069</v>
      </c>
      <c r="O1178" s="67" t="inlineStr">
        <is>
          <t>Revisão</t>
        </is>
      </c>
    </row>
    <row r="1179">
      <c r="A1179" s="40" t="inlineStr">
        <is>
          <t>5004357-07.2020.4.04.7204</t>
        </is>
      </c>
      <c r="B1179" s="40" t="inlineStr">
        <is>
          <t>Outras</t>
        </is>
      </c>
      <c r="D1179" s="67" t="inlineStr">
        <is>
          <t>Renata Francisco Becker</t>
        </is>
      </c>
      <c r="E1179" s="62" t="n">
        <v>45008</v>
      </c>
      <c r="F1179" s="67" t="inlineStr">
        <is>
          <t>Juízo Federal da 4ª VF de Criciúma</t>
        </is>
      </c>
      <c r="I1179" s="67" t="inlineStr"/>
      <c r="J1179" s="67" t="inlineStr">
        <is>
          <t>Tarefa</t>
        </is>
      </c>
      <c r="K1179" s="62" t="n">
        <v>46069</v>
      </c>
      <c r="L1179" s="67" t="inlineStr">
        <is>
          <t>Marelize Controladoria</t>
        </is>
      </c>
      <c r="M1179" s="40" t="inlineStr">
        <is>
          <t>Cumprido</t>
        </is>
      </c>
      <c r="N1179" s="62" t="n">
        <v>46069</v>
      </c>
      <c r="O1179" s="67" t="inlineStr">
        <is>
          <t>16/02/2026 - Conferir prazos no TJs - TJSC - TJRS - TRT12 - TRF4 - JFSC - TJRJ - TJPR - TJPA - TJSP - TJGO;</t>
        </is>
      </c>
    </row>
    <row r="1180">
      <c r="A1180" s="40" t="inlineStr">
        <is>
          <t>5005926-14.2018.4.04.7204</t>
        </is>
      </c>
      <c r="B1180" s="40" t="inlineStr">
        <is>
          <t>Outras</t>
        </is>
      </c>
      <c r="D1180" s="67" t="inlineStr">
        <is>
          <t>Renata Francisco Becker</t>
        </is>
      </c>
      <c r="E1180" s="62" t="n">
        <v>44725</v>
      </c>
      <c r="F1180" s="67" t="inlineStr">
        <is>
          <t>Gab. Juiz Federal GILSON JACOBSEN (SC-3C)</t>
        </is>
      </c>
      <c r="I1180" s="67" t="inlineStr"/>
      <c r="J1180" s="67" t="inlineStr">
        <is>
          <t>Tarefa</t>
        </is>
      </c>
      <c r="K1180" s="62" t="n">
        <v>46069</v>
      </c>
      <c r="L1180" s="67" t="inlineStr">
        <is>
          <t>Marelize Controladoria</t>
        </is>
      </c>
      <c r="M1180" s="40" t="inlineStr">
        <is>
          <t>Cumprido</t>
        </is>
      </c>
      <c r="N1180" s="62" t="n">
        <v>46069</v>
      </c>
      <c r="O1180" s="67" t="inlineStr">
        <is>
          <t>16/02/2026 - Fazer Agendas.</t>
        </is>
      </c>
    </row>
    <row r="1181">
      <c r="A1181" s="40" t="inlineStr">
        <is>
          <t>5013765-56.2019.4.04.7204</t>
        </is>
      </c>
      <c r="B1181" s="40" t="inlineStr">
        <is>
          <t>Outras</t>
        </is>
      </c>
      <c r="D1181" s="67" t="inlineStr">
        <is>
          <t>Renata Francisco Becker</t>
        </is>
      </c>
      <c r="E1181" s="62" t="n">
        <v>44707</v>
      </c>
      <c r="F1181" s="67" t="inlineStr">
        <is>
          <t>Juízo Substituto da 4ª VF de Criciúma</t>
        </is>
      </c>
      <c r="I1181" s="67" t="inlineStr"/>
      <c r="J1181" s="67" t="inlineStr">
        <is>
          <t>Tarefa</t>
        </is>
      </c>
      <c r="K1181" s="62" t="n">
        <v>46069</v>
      </c>
      <c r="L1181" s="67" t="inlineStr">
        <is>
          <t>Marelize Controladoria</t>
        </is>
      </c>
      <c r="M1181" s="40" t="inlineStr">
        <is>
          <t>Cumprido</t>
        </is>
      </c>
      <c r="N1181" s="62" t="n">
        <v>46069</v>
      </c>
      <c r="O1181" s="67" t="inlineStr">
        <is>
          <t>16/02/2026 - Fazer Publicações.</t>
        </is>
      </c>
    </row>
    <row r="1182">
      <c r="A1182" s="40" t="inlineStr">
        <is>
          <t>5012164-15.2019.4.04.7204</t>
        </is>
      </c>
      <c r="B1182" s="40" t="inlineStr">
        <is>
          <t>Outras</t>
        </is>
      </c>
      <c r="D1182" s="67" t="inlineStr">
        <is>
          <t>Renata Francisco Becker</t>
        </is>
      </c>
      <c r="E1182" s="62" t="n">
        <v>44858</v>
      </c>
      <c r="F1182" s="67" t="inlineStr">
        <is>
          <t>Juízo Federal da 4ª VF de Criciúma</t>
        </is>
      </c>
      <c r="I1182" s="67" t="inlineStr"/>
      <c r="J1182" s="67" t="inlineStr">
        <is>
          <t>Tarefa</t>
        </is>
      </c>
      <c r="K1182" s="62" t="n">
        <v>46069</v>
      </c>
      <c r="L1182" s="67" t="inlineStr">
        <is>
          <t>Marelize Controladoria</t>
        </is>
      </c>
      <c r="M1182" s="40" t="inlineStr">
        <is>
          <t>Cumprido</t>
        </is>
      </c>
      <c r="N1182" s="62" t="n">
        <v>46069</v>
      </c>
      <c r="O1182" s="67" t="inlineStr">
        <is>
          <t>16/02/2026 - Olhar E-mails.</t>
        </is>
      </c>
    </row>
    <row r="1183">
      <c r="A1183" s="40" t="inlineStr">
        <is>
          <t>5004193-42.2020.4.04.7204</t>
        </is>
      </c>
      <c r="B1183" s="40" t="inlineStr">
        <is>
          <t>Outras</t>
        </is>
      </c>
      <c r="D1183" s="67" t="inlineStr">
        <is>
          <t>Renata Francisco Becker</t>
        </is>
      </c>
      <c r="E1183" s="62" t="n">
        <v>44802</v>
      </c>
      <c r="F1183" s="67" t="inlineStr">
        <is>
          <t>Juízo Federal da 1ª VF de Tubarão</t>
        </is>
      </c>
      <c r="I1183" s="67" t="inlineStr">
        <is>
          <t>0000892-11.2022.5.12.0055</t>
        </is>
      </c>
      <c r="J1183" s="67" t="inlineStr">
        <is>
          <t>Tarefa</t>
        </is>
      </c>
      <c r="K1183" s="62" t="n">
        <v>46069</v>
      </c>
      <c r="L1183" s="67" t="inlineStr">
        <is>
          <t>Pedro Victor</t>
        </is>
      </c>
      <c r="M1183" s="40" t="inlineStr">
        <is>
          <t>Cumprido</t>
        </is>
      </c>
      <c r="N1183" s="62" t="n">
        <v>46069</v>
      </c>
      <c r="O1183" s="67" t="inlineStr">
        <is>
          <t xml:space="preserve">16/02/2026 - Pagamento parcela 1/13 acordo valor de 3000,
Descontar os honorários e repassar para a cliente
Deposito recebido na conta da Transpocred </t>
        </is>
      </c>
    </row>
    <row r="1184">
      <c r="A1184" s="40" t="inlineStr">
        <is>
          <t>5013760-34.2019.4.04.7204</t>
        </is>
      </c>
      <c r="B1184" s="40" t="inlineStr">
        <is>
          <t>Outras</t>
        </is>
      </c>
      <c r="D1184" s="67" t="inlineStr">
        <is>
          <t>Renata Francisco Becker</t>
        </is>
      </c>
      <c r="E1184" s="62" t="n">
        <v>44809</v>
      </c>
      <c r="F1184" s="67" t="inlineStr">
        <is>
          <t>Juízo Federal da 4ª VF de Criciúma</t>
        </is>
      </c>
      <c r="I1184" s="67" t="inlineStr">
        <is>
          <t>50008495520258240004</t>
        </is>
      </c>
      <c r="J1184" s="67" t="inlineStr">
        <is>
          <t>Tarefa</t>
        </is>
      </c>
      <c r="K1184" s="62" t="n">
        <v>46069</v>
      </c>
      <c r="L1184" s="67" t="inlineStr">
        <is>
          <t>Julia</t>
        </is>
      </c>
      <c r="M1184" s="40" t="inlineStr">
        <is>
          <t>Cumprido</t>
        </is>
      </c>
      <c r="N1184" s="62" t="n">
        <v>46069</v>
      </c>
      <c r="O1184" s="67" t="inlineStr">
        <is>
          <t xml:space="preserve">16/12/2025 - acompanhar pagamento </t>
        </is>
      </c>
    </row>
    <row r="1185">
      <c r="A1185" s="40" t="inlineStr">
        <is>
          <t>5013775-03.2019.4.04.7204</t>
        </is>
      </c>
      <c r="B1185" s="40" t="inlineStr">
        <is>
          <t>Outras</t>
        </is>
      </c>
      <c r="D1185" s="67" t="inlineStr">
        <is>
          <t>Renata Francisco Becker</t>
        </is>
      </c>
      <c r="E1185" s="62" t="n">
        <v>44802</v>
      </c>
      <c r="F1185" s="67" t="inlineStr">
        <is>
          <t>Juízo Federal da 1ª VF de Tubarão</t>
        </is>
      </c>
      <c r="I1185" s="67" t="inlineStr">
        <is>
          <t>5004657-10.2021.8.24.0004</t>
        </is>
      </c>
      <c r="J1185" s="67" t="inlineStr">
        <is>
          <t>Tarefa</t>
        </is>
      </c>
      <c r="K1185" s="62" t="n">
        <v>46069</v>
      </c>
      <c r="L1185" s="67" t="inlineStr">
        <is>
          <t xml:space="preserve">Alexia </t>
        </is>
      </c>
      <c r="M1185" s="40" t="inlineStr">
        <is>
          <t>Cumprido</t>
        </is>
      </c>
      <c r="N1185" s="62" t="n">
        <v>46069</v>
      </c>
      <c r="O1185" s="67" t="inlineStr">
        <is>
          <t xml:space="preserve">Analise de caso com Engenheiro </t>
        </is>
      </c>
    </row>
    <row r="1186">
      <c r="A1186" s="40" t="inlineStr">
        <is>
          <t>5004192-57.2020.4.04.7204</t>
        </is>
      </c>
      <c r="B1186" s="40" t="inlineStr">
        <is>
          <t>Outras</t>
        </is>
      </c>
      <c r="D1186" s="67" t="inlineStr">
        <is>
          <t>Renata Francisco Becker</t>
        </is>
      </c>
      <c r="E1186" s="62" t="n">
        <v>44802</v>
      </c>
      <c r="F1186" s="67" t="inlineStr">
        <is>
          <t>Juízo Substituto da 1ª VF de Tubarão</t>
        </is>
      </c>
      <c r="I1186" s="67" t="inlineStr">
        <is>
          <t>5010232-09.2025.8.24.0020</t>
        </is>
      </c>
      <c r="J1186" s="67" t="inlineStr">
        <is>
          <t>Tarefa</t>
        </is>
      </c>
      <c r="K1186" s="62" t="n">
        <v>46069</v>
      </c>
      <c r="L1186" s="67" t="inlineStr">
        <is>
          <t>Marelize Controladoria</t>
        </is>
      </c>
      <c r="M1186" s="40" t="inlineStr">
        <is>
          <t>Cumprido</t>
        </is>
      </c>
      <c r="N1186" s="62" t="n">
        <v>46069</v>
      </c>
      <c r="O1186" s="67" t="inlineStr">
        <is>
          <t>Avisar cliente da audiencia.</t>
        </is>
      </c>
    </row>
    <row r="1187">
      <c r="A1187" s="40" t="inlineStr">
        <is>
          <t>5010669-96.2020.4.04.7204</t>
        </is>
      </c>
      <c r="B1187" s="40" t="inlineStr">
        <is>
          <t>Outras</t>
        </is>
      </c>
      <c r="D1187" s="67" t="inlineStr">
        <is>
          <t>Renata Francisco Becker</t>
        </is>
      </c>
      <c r="E1187" s="62" t="n">
        <v>44802</v>
      </c>
      <c r="F1187" s="67" t="inlineStr">
        <is>
          <t>Juízo Substituto da 1ª VF de Tubarão</t>
        </is>
      </c>
      <c r="I1187" s="67" t="inlineStr"/>
      <c r="J1187" s="67" t="inlineStr">
        <is>
          <t>Tarefa</t>
        </is>
      </c>
      <c r="K1187" s="62" t="n">
        <v>46069</v>
      </c>
      <c r="L1187" s="67" t="inlineStr">
        <is>
          <t>Pedro Victor</t>
        </is>
      </c>
      <c r="M1187" s="40" t="inlineStr">
        <is>
          <t>Cumprido</t>
        </is>
      </c>
      <c r="N1187" s="62" t="n">
        <v>46069</v>
      </c>
      <c r="O1187" s="67" t="inlineStr">
        <is>
          <t xml:space="preserve">cobrar retorno do orçamento </t>
        </is>
      </c>
    </row>
    <row r="1188">
      <c r="A1188" s="40" t="inlineStr">
        <is>
          <t>5010655-15.2020.4.04.7204</t>
        </is>
      </c>
      <c r="B1188" s="40" t="inlineStr">
        <is>
          <t>Outras</t>
        </is>
      </c>
      <c r="D1188" s="67" t="inlineStr">
        <is>
          <t>Renata Francisco Becker</t>
        </is>
      </c>
      <c r="E1188" s="62" t="n">
        <v>44802</v>
      </c>
      <c r="F1188" s="67" t="inlineStr">
        <is>
          <t>Juízo Federal da 1ª VF de Tubarão</t>
        </is>
      </c>
      <c r="I1188" s="67" t="inlineStr"/>
      <c r="J1188" s="67" t="inlineStr">
        <is>
          <t>Tarefa</t>
        </is>
      </c>
      <c r="K1188" s="62" t="n">
        <v>46069</v>
      </c>
      <c r="L1188" s="67" t="inlineStr">
        <is>
          <t>Pedro Victor</t>
        </is>
      </c>
      <c r="M1188" s="40" t="inlineStr">
        <is>
          <t>Cumprido</t>
        </is>
      </c>
      <c r="N1188" s="62" t="n">
        <v>46069</v>
      </c>
      <c r="O1188" s="67" t="inlineStr">
        <is>
          <t>Confecção e agendamento de visita para entrega de caixa de boas-vindas.</t>
        </is>
      </c>
    </row>
    <row r="1189">
      <c r="A1189" s="40" t="inlineStr">
        <is>
          <t>5013762-04.2019.4.04.7204</t>
        </is>
      </c>
      <c r="B1189" s="40" t="inlineStr">
        <is>
          <t>Outras</t>
        </is>
      </c>
      <c r="D1189" s="67" t="inlineStr">
        <is>
          <t>Renata Francisco Becker</t>
        </is>
      </c>
      <c r="E1189" s="62" t="n">
        <v>44707</v>
      </c>
      <c r="F1189" s="67" t="inlineStr">
        <is>
          <t>Juízo Substituto da 4ª VF de Criciúma</t>
        </is>
      </c>
      <c r="I1189" s="67" t="inlineStr"/>
      <c r="J1189" s="67" t="inlineStr">
        <is>
          <t>Tarefa</t>
        </is>
      </c>
      <c r="K1189" s="62" t="n">
        <v>46069</v>
      </c>
      <c r="L1189" s="67" t="inlineStr">
        <is>
          <t>Pedro Victor</t>
        </is>
      </c>
      <c r="M1189" s="40" t="inlineStr">
        <is>
          <t>Cumprido</t>
        </is>
      </c>
      <c r="N1189" s="62" t="n">
        <v>46069</v>
      </c>
      <c r="O1189" s="67" t="inlineStr">
        <is>
          <t>Confecção e agendamento de visita para entrega de caixa de boas-vindas.</t>
        </is>
      </c>
    </row>
    <row r="1190">
      <c r="A1190" s="40" t="inlineStr">
        <is>
          <t>5013774-18.2019.4.04.7204</t>
        </is>
      </c>
      <c r="B1190" s="40" t="inlineStr">
        <is>
          <t>Outras</t>
        </is>
      </c>
      <c r="D1190" s="67" t="inlineStr">
        <is>
          <t>Renata Francisco Becker</t>
        </is>
      </c>
      <c r="E1190" s="62" t="n">
        <v>44802</v>
      </c>
      <c r="F1190" s="67" t="inlineStr">
        <is>
          <t>Juízo Federal da 1ª VF de Tubarão</t>
        </is>
      </c>
      <c r="I1190" s="67" t="inlineStr"/>
      <c r="J1190" s="67" t="inlineStr">
        <is>
          <t>Tarefa</t>
        </is>
      </c>
      <c r="K1190" s="62" t="n">
        <v>46069</v>
      </c>
      <c r="L1190" s="67" t="inlineStr">
        <is>
          <t>Pedro Victor</t>
        </is>
      </c>
      <c r="M1190" s="40" t="inlineStr">
        <is>
          <t>Cumprido</t>
        </is>
      </c>
      <c r="N1190" s="62" t="n">
        <v>46069</v>
      </c>
      <c r="O1190" s="67" t="inlineStr">
        <is>
          <t>Elaborar contratos e procuração</t>
        </is>
      </c>
    </row>
    <row r="1191">
      <c r="A1191" s="40" t="inlineStr">
        <is>
          <t>5010664-74.2020.4.04.7204</t>
        </is>
      </c>
      <c r="B1191" s="40" t="inlineStr">
        <is>
          <t>Outras</t>
        </is>
      </c>
      <c r="D1191" s="67" t="inlineStr">
        <is>
          <t>Renata Francisco Becker</t>
        </is>
      </c>
      <c r="E1191" s="62" t="n">
        <v>44725</v>
      </c>
      <c r="F1191" s="67" t="inlineStr">
        <is>
          <t>Juízo Substituto da 4ª VF de Criciúma</t>
        </is>
      </c>
      <c r="I1191" s="67" t="inlineStr"/>
      <c r="J1191" s="67" t="inlineStr">
        <is>
          <t>Tarefa</t>
        </is>
      </c>
      <c r="K1191" s="62" t="n">
        <v>46069</v>
      </c>
      <c r="L1191" s="67" t="inlineStr">
        <is>
          <t>Pedro Victor</t>
        </is>
      </c>
      <c r="M1191" s="40" t="inlineStr">
        <is>
          <t>Cumprido</t>
        </is>
      </c>
      <c r="N1191" s="62" t="n">
        <v>46069</v>
      </c>
      <c r="O1191" s="67" t="inlineStr">
        <is>
          <t xml:space="preserve">Elaborar contratos e procuração </t>
        </is>
      </c>
    </row>
    <row r="1192">
      <c r="A1192" s="40" t="inlineStr">
        <is>
          <t>5010659-52.2020.4.04.7204</t>
        </is>
      </c>
      <c r="B1192" s="40" t="inlineStr">
        <is>
          <t>Outras</t>
        </is>
      </c>
      <c r="D1192" s="67" t="inlineStr">
        <is>
          <t>Renata Francisco Becker</t>
        </is>
      </c>
      <c r="E1192" s="62" t="n">
        <v>44707</v>
      </c>
      <c r="F1192" s="67" t="inlineStr">
        <is>
          <t>Juízo Federal da 4ª VF de Criciúma</t>
        </is>
      </c>
      <c r="I1192" s="67" t="inlineStr">
        <is>
          <t>50380204920254040000</t>
        </is>
      </c>
      <c r="J1192" s="67" t="inlineStr">
        <is>
          <t>Tarefa</t>
        </is>
      </c>
      <c r="K1192" s="62" t="n">
        <v>46069</v>
      </c>
      <c r="L1192" s="67" t="inlineStr">
        <is>
          <t>Jessica</t>
        </is>
      </c>
      <c r="M1192" s="40" t="inlineStr">
        <is>
          <t>Cumprido</t>
        </is>
      </c>
      <c r="N1192" s="62" t="n">
        <v>46069</v>
      </c>
      <c r="O1192" s="67" t="inlineStr">
        <is>
          <t>Envio da Sustentação Oral</t>
        </is>
      </c>
    </row>
    <row r="1193">
      <c r="A1193" s="40" t="inlineStr">
        <is>
          <t>5004189-05.2020.4.04.7204</t>
        </is>
      </c>
      <c r="B1193" s="40" t="inlineStr">
        <is>
          <t>Outras</t>
        </is>
      </c>
      <c r="D1193" s="67" t="inlineStr">
        <is>
          <t>Renata Francisco Becker</t>
        </is>
      </c>
      <c r="E1193" s="62" t="n">
        <v>44819</v>
      </c>
      <c r="F1193" s="67" t="inlineStr">
        <is>
          <t>Juízo Federal da 4ª VF de Criciúma</t>
        </is>
      </c>
      <c r="I1193" s="67" t="inlineStr"/>
      <c r="J1193" s="67" t="inlineStr">
        <is>
          <t>Tarefa</t>
        </is>
      </c>
      <c r="K1193" s="62" t="n">
        <v>46069</v>
      </c>
      <c r="L1193" s="67" t="inlineStr">
        <is>
          <t xml:space="preserve">Lucas </t>
        </is>
      </c>
      <c r="M1193" s="40" t="inlineStr">
        <is>
          <t>Cumprido</t>
        </is>
      </c>
      <c r="N1193" s="62" t="n">
        <v>46069</v>
      </c>
      <c r="O1193" s="67" t="inlineStr">
        <is>
          <t>Finalização</t>
        </is>
      </c>
    </row>
    <row r="1194">
      <c r="A1194" s="40" t="inlineStr">
        <is>
          <t>5013780-25.2019.4.04.7204</t>
        </is>
      </c>
      <c r="B1194" s="40" t="inlineStr">
        <is>
          <t>Outras</t>
        </is>
      </c>
      <c r="D1194" s="67" t="inlineStr">
        <is>
          <t>Renata Francisco Becker</t>
        </is>
      </c>
      <c r="E1194" s="62" t="n">
        <v>44802</v>
      </c>
      <c r="F1194" s="67" t="inlineStr">
        <is>
          <t>Juízo Substituto da 1ª VF de Tubarão</t>
        </is>
      </c>
      <c r="I1194" s="67" t="inlineStr"/>
      <c r="J1194" s="67" t="inlineStr">
        <is>
          <t>Tarefa</t>
        </is>
      </c>
      <c r="K1194" s="62" t="n">
        <v>46069</v>
      </c>
      <c r="L1194" s="67" t="inlineStr">
        <is>
          <t xml:space="preserve">Lucas </t>
        </is>
      </c>
      <c r="M1194" s="40" t="inlineStr">
        <is>
          <t>Cumprido</t>
        </is>
      </c>
      <c r="N1194" s="62" t="n">
        <v>46069</v>
      </c>
      <c r="O1194" s="67" t="inlineStr">
        <is>
          <t>Fiscalização (Cumprimento pela empresa)</t>
        </is>
      </c>
    </row>
    <row r="1195">
      <c r="A1195" s="40" t="inlineStr">
        <is>
          <t>5013785-47.2019.4.04.7204</t>
        </is>
      </c>
      <c r="B1195" s="40" t="inlineStr">
        <is>
          <t>Outras</t>
        </is>
      </c>
      <c r="D1195" s="67" t="inlineStr">
        <is>
          <t>Renata Francisco Becker</t>
        </is>
      </c>
      <c r="E1195" s="62" t="n">
        <v>44803</v>
      </c>
      <c r="F1195" s="67" t="inlineStr">
        <is>
          <t>Juízo Substituto da 1ª VF de Tubarão</t>
        </is>
      </c>
      <c r="I1195" s="67" t="inlineStr">
        <is>
          <t>5004657-10.2021.8.24.0004</t>
        </is>
      </c>
      <c r="J1195" s="67" t="inlineStr">
        <is>
          <t>Tarefa</t>
        </is>
      </c>
      <c r="K1195" s="62" t="n">
        <v>46069</v>
      </c>
      <c r="L1195" s="67" t="inlineStr">
        <is>
          <t xml:space="preserve">Alexia </t>
        </is>
      </c>
      <c r="M1195" s="40" t="inlineStr">
        <is>
          <t>Cumprido</t>
        </is>
      </c>
      <c r="N1195" s="62" t="n">
        <v>46069</v>
      </c>
      <c r="O1195" s="67" t="inlineStr">
        <is>
          <t>Juntar procuração</t>
        </is>
      </c>
    </row>
    <row r="1196">
      <c r="A1196" s="40" t="inlineStr">
        <is>
          <t>5013795-91.2019.4.04.7204</t>
        </is>
      </c>
      <c r="B1196" s="40" t="inlineStr">
        <is>
          <t>Outras</t>
        </is>
      </c>
      <c r="D1196" s="67" t="inlineStr">
        <is>
          <t>Renata Francisco Becker</t>
        </is>
      </c>
      <c r="E1196" s="62" t="n">
        <v>44805</v>
      </c>
      <c r="F1196" s="67" t="inlineStr">
        <is>
          <t>Juízo Federal da 1ª VF de Tubarão</t>
        </is>
      </c>
      <c r="I1196" s="67" t="inlineStr">
        <is>
          <t>50006780720248240175</t>
        </is>
      </c>
      <c r="J1196" s="67" t="inlineStr">
        <is>
          <t>Tarefa</t>
        </is>
      </c>
      <c r="K1196" s="62" t="n">
        <v>46069</v>
      </c>
      <c r="L1196" s="67" t="inlineStr">
        <is>
          <t>Marelize Controladoria</t>
        </is>
      </c>
      <c r="M1196" s="40" t="inlineStr">
        <is>
          <t>Cumprido</t>
        </is>
      </c>
      <c r="N1196" s="62" t="n">
        <v>46069</v>
      </c>
      <c r="O1196" s="67" t="inlineStr">
        <is>
          <t xml:space="preserve">Ligar para adv, e negociar um acordo dos honorarios, mais indenização. </t>
        </is>
      </c>
    </row>
    <row r="1197">
      <c r="A1197" s="40" t="inlineStr">
        <is>
          <t>5010662-07.2020.4.04.7204</t>
        </is>
      </c>
      <c r="B1197" s="40" t="inlineStr">
        <is>
          <t>Outras</t>
        </is>
      </c>
      <c r="D1197" s="67" t="inlineStr">
        <is>
          <t>Renata Francisco Becker</t>
        </is>
      </c>
      <c r="E1197" s="62" t="n">
        <v>44707</v>
      </c>
      <c r="F1197" s="67" t="inlineStr">
        <is>
          <t>Juízo Federal da 4ª VF de Criciúma</t>
        </is>
      </c>
      <c r="I1197" s="67" t="inlineStr"/>
      <c r="J1197" s="67" t="inlineStr">
        <is>
          <t>Tarefa</t>
        </is>
      </c>
      <c r="K1197" s="62" t="n">
        <v>46069</v>
      </c>
      <c r="L1197" s="67" t="inlineStr">
        <is>
          <t>Pedro Victor</t>
        </is>
      </c>
      <c r="M1197" s="40" t="inlineStr">
        <is>
          <t>Cumprido</t>
        </is>
      </c>
      <c r="N1197" s="62" t="n">
        <v>46069</v>
      </c>
      <c r="O1197" s="67" t="inlineStr">
        <is>
          <t xml:space="preserve">Pegar contrato social e documentos dos sócios </t>
        </is>
      </c>
    </row>
    <row r="1198">
      <c r="A1198" s="40" t="inlineStr">
        <is>
          <t>5010658-67.2020.4.04.7204</t>
        </is>
      </c>
      <c r="B1198" s="40" t="inlineStr">
        <is>
          <t>Outras</t>
        </is>
      </c>
      <c r="D1198" s="67" t="inlineStr">
        <is>
          <t>Renata Francisco Becker</t>
        </is>
      </c>
      <c r="E1198" s="62" t="n">
        <v>44979</v>
      </c>
      <c r="F1198" s="67" t="inlineStr">
        <is>
          <t>Juízo Federal da 4ª VF de Criciúma</t>
        </is>
      </c>
      <c r="I1198" s="67" t="inlineStr">
        <is>
          <t>5008937-34.2025.8.24.0020</t>
        </is>
      </c>
      <c r="J1198" s="67" t="inlineStr">
        <is>
          <t>Tarefa</t>
        </is>
      </c>
      <c r="K1198" s="62" t="n">
        <v>46069</v>
      </c>
      <c r="L1198" s="67" t="inlineStr">
        <is>
          <t xml:space="preserve">Alexia </t>
        </is>
      </c>
      <c r="M1198" s="40" t="inlineStr">
        <is>
          <t>Cumprido</t>
        </is>
      </c>
      <c r="N1198" s="62" t="n">
        <v>46069</v>
      </c>
      <c r="O1198" s="67" t="inlineStr">
        <is>
          <t>Protocolo</t>
        </is>
      </c>
    </row>
    <row r="1199">
      <c r="A1199" s="40" t="inlineStr">
        <is>
          <t>5013589-77.2019.4.04.7204</t>
        </is>
      </c>
      <c r="B1199" s="40" t="inlineStr">
        <is>
          <t>Outras</t>
        </is>
      </c>
      <c r="D1199" s="67" t="inlineStr">
        <is>
          <t>Renata Francisco Becker</t>
        </is>
      </c>
      <c r="E1199" s="62" t="n">
        <v>44734</v>
      </c>
      <c r="F1199" s="67" t="inlineStr">
        <is>
          <t>Juízo Substituto da 4ª VF de Criciúma</t>
        </is>
      </c>
      <c r="I1199" s="67" t="inlineStr">
        <is>
          <t>0001478-43.2025.5.12.0055</t>
        </is>
      </c>
      <c r="J1199" s="67" t="inlineStr">
        <is>
          <t>Tarefa</t>
        </is>
      </c>
      <c r="K1199" s="62" t="n">
        <v>46069</v>
      </c>
      <c r="L1199" s="67" t="inlineStr">
        <is>
          <t>Luci</t>
        </is>
      </c>
      <c r="M1199" s="40" t="inlineStr">
        <is>
          <t>Cumprido</t>
        </is>
      </c>
      <c r="N1199" s="62" t="n">
        <v>46069</v>
      </c>
      <c r="O1199" s="67" t="inlineStr">
        <is>
          <t>Protocolo</t>
        </is>
      </c>
    </row>
    <row r="1200">
      <c r="A1200" s="40" t="inlineStr">
        <is>
          <t>5004197-79.2020.4.04.7204</t>
        </is>
      </c>
      <c r="B1200" s="40" t="inlineStr">
        <is>
          <t>Outras</t>
        </is>
      </c>
      <c r="D1200" s="67" t="inlineStr">
        <is>
          <t>Renata Francisco Becker</t>
        </is>
      </c>
      <c r="E1200" s="62" t="n">
        <v>44802</v>
      </c>
      <c r="F1200" s="67" t="inlineStr">
        <is>
          <t>Juízo Federal da 1ª VF de Tubarão</t>
        </is>
      </c>
      <c r="I1200" s="67" t="inlineStr"/>
      <c r="J1200" s="67" t="inlineStr">
        <is>
          <t>Tarefa</t>
        </is>
      </c>
      <c r="K1200" s="62" t="n">
        <v>46069</v>
      </c>
      <c r="L1200" s="67" t="inlineStr">
        <is>
          <t>Jessica</t>
        </is>
      </c>
      <c r="M1200" s="40" t="inlineStr">
        <is>
          <t>Cumprido</t>
        </is>
      </c>
      <c r="N1200" s="62" t="n">
        <v>46069</v>
      </c>
      <c r="O1200" s="67" t="inlineStr">
        <is>
          <t>Protocolo</t>
        </is>
      </c>
    </row>
    <row r="1201">
      <c r="A1201" s="40" t="inlineStr">
        <is>
          <t>5012995-63.2019.4.04.7204</t>
        </is>
      </c>
      <c r="B1201" s="40" t="inlineStr">
        <is>
          <t>Outras</t>
        </is>
      </c>
      <c r="D1201" s="67" t="inlineStr">
        <is>
          <t>Renata Francisco Becker</t>
        </is>
      </c>
      <c r="E1201" s="62" t="n">
        <v>44740</v>
      </c>
      <c r="F1201" s="67" t="inlineStr">
        <is>
          <t>Juízo Substituto da 4ª VF de Criciúma</t>
        </is>
      </c>
      <c r="I1201" s="67" t="inlineStr">
        <is>
          <t>50239155020248240020</t>
        </is>
      </c>
      <c r="J1201" s="67" t="inlineStr">
        <is>
          <t>Tarefa</t>
        </is>
      </c>
      <c r="K1201" s="62" t="n">
        <v>46069</v>
      </c>
      <c r="L1201" s="67" t="inlineStr">
        <is>
          <t xml:space="preserve">Alexia </t>
        </is>
      </c>
      <c r="M1201" s="40" t="inlineStr">
        <is>
          <t>Cumprido</t>
        </is>
      </c>
      <c r="N1201" s="62" t="n">
        <v>46069</v>
      </c>
      <c r="O1201" s="67" t="inlineStr">
        <is>
          <t>Protocolo</t>
        </is>
      </c>
    </row>
    <row r="1202">
      <c r="A1202" s="40" t="n"/>
      <c r="B1202" s="40" t="inlineStr">
        <is>
          <t>Outras</t>
        </is>
      </c>
      <c r="D1202" s="67" t="inlineStr">
        <is>
          <t>Luci</t>
        </is>
      </c>
      <c r="E1202" s="62" t="n">
        <v>45581</v>
      </c>
      <c r="I1202" s="67" t="inlineStr"/>
      <c r="J1202" s="67" t="inlineStr">
        <is>
          <t>Tarefa</t>
        </is>
      </c>
      <c r="K1202" s="62" t="n">
        <v>46069</v>
      </c>
      <c r="L1202" s="67" t="inlineStr">
        <is>
          <t>Julia</t>
        </is>
      </c>
      <c r="M1202" s="40" t="inlineStr">
        <is>
          <t>Cumprido</t>
        </is>
      </c>
      <c r="N1202" s="62" t="n">
        <v>46069</v>
      </c>
      <c r="O1202" s="67" t="inlineStr">
        <is>
          <t>RETORNO CLIENTE - Cláudio Alexandre Leal Ávila</t>
        </is>
      </c>
    </row>
    <row r="1203">
      <c r="A1203" s="40" t="n"/>
      <c r="B1203" s="40" t="inlineStr">
        <is>
          <t>Outras</t>
        </is>
      </c>
      <c r="D1203" s="67" t="inlineStr">
        <is>
          <t>Renata Francisco Becker</t>
        </is>
      </c>
      <c r="E1203" s="62" t="n">
        <v>45693</v>
      </c>
      <c r="I1203" s="67" t="inlineStr">
        <is>
          <t>5008937-34.2025.8.24.0020</t>
        </is>
      </c>
      <c r="J1203" s="67" t="inlineStr">
        <is>
          <t>Tarefa</t>
        </is>
      </c>
      <c r="K1203" s="62" t="n">
        <v>46069</v>
      </c>
      <c r="L1203" s="67" t="inlineStr">
        <is>
          <t>Renata Francisco Becker</t>
        </is>
      </c>
      <c r="M1203" s="40" t="inlineStr">
        <is>
          <t>Cumprido</t>
        </is>
      </c>
      <c r="N1203" s="62" t="n">
        <v>46069</v>
      </c>
      <c r="O1203" s="67" t="inlineStr">
        <is>
          <t>Revisão</t>
        </is>
      </c>
    </row>
    <row r="1204">
      <c r="A1204" s="40" t="inlineStr">
        <is>
          <t>00176632</t>
        </is>
      </c>
      <c r="B1204" s="40" t="inlineStr">
        <is>
          <t>Outras</t>
        </is>
      </c>
      <c r="D1204" s="67" t="inlineStr">
        <is>
          <t xml:space="preserve">Lucas </t>
        </is>
      </c>
      <c r="E1204" s="62" t="n">
        <v>45705</v>
      </c>
      <c r="F1204" s="67" t="inlineStr"/>
      <c r="I1204" s="67" t="inlineStr">
        <is>
          <t>5014179-44.2025.4.04.7204</t>
        </is>
      </c>
      <c r="J1204" s="67" t="inlineStr">
        <is>
          <t>Tarefa</t>
        </is>
      </c>
      <c r="K1204" s="62" t="n">
        <v>46069</v>
      </c>
      <c r="L1204" s="67" t="inlineStr">
        <is>
          <t>Pedro Victor</t>
        </is>
      </c>
      <c r="M1204" s="40" t="inlineStr">
        <is>
          <t>Cumprido</t>
        </is>
      </c>
      <c r="N1204" s="62" t="n">
        <v>46069</v>
      </c>
      <c r="O1204" s="67" t="inlineStr">
        <is>
          <t>Revisão</t>
        </is>
      </c>
    </row>
    <row r="1205">
      <c r="A1205" s="40" t="n"/>
      <c r="B1205" s="40" t="inlineStr">
        <is>
          <t>Outras</t>
        </is>
      </c>
      <c r="D1205" s="67" t="inlineStr">
        <is>
          <t>Renata Francisco Becker</t>
        </is>
      </c>
      <c r="E1205" s="62" t="n">
        <v>45708</v>
      </c>
      <c r="I1205" s="67" t="inlineStr"/>
      <c r="J1205" s="67" t="inlineStr">
        <is>
          <t>Tarefa</t>
        </is>
      </c>
      <c r="K1205" s="62" t="n">
        <v>46069</v>
      </c>
      <c r="L1205" s="67" t="inlineStr">
        <is>
          <t>Luci</t>
        </is>
      </c>
      <c r="M1205" s="40" t="inlineStr">
        <is>
          <t>Cumprido</t>
        </is>
      </c>
      <c r="N1205" s="62" t="n">
        <v>46069</v>
      </c>
      <c r="O1205" s="67" t="inlineStr">
        <is>
          <t>Revisão</t>
        </is>
      </c>
    </row>
    <row r="1206">
      <c r="A1206" s="40" t="inlineStr">
        <is>
          <t>0176626</t>
        </is>
      </c>
      <c r="B1206" s="40" t="inlineStr">
        <is>
          <t>Outras</t>
        </is>
      </c>
      <c r="D1206" s="67" t="inlineStr">
        <is>
          <t xml:space="preserve">Lucas </t>
        </is>
      </c>
      <c r="E1206" s="62" t="n">
        <v>45705</v>
      </c>
      <c r="F1206" s="67" t="inlineStr"/>
      <c r="I1206" s="67" t="inlineStr">
        <is>
          <t>0000211-70.2026.5.12.0000</t>
        </is>
      </c>
      <c r="J1206" s="67" t="inlineStr">
        <is>
          <t>Tarefa</t>
        </is>
      </c>
      <c r="K1206" s="62" t="n">
        <v>46069</v>
      </c>
      <c r="L1206" s="67" t="inlineStr">
        <is>
          <t>Renata Francisco Becker</t>
        </is>
      </c>
      <c r="M1206" s="40" t="inlineStr">
        <is>
          <t>Cumprido</t>
        </is>
      </c>
      <c r="N1206" s="62" t="n">
        <v>46069</v>
      </c>
      <c r="O1206" s="67" t="inlineStr">
        <is>
          <t>Revisão</t>
        </is>
      </c>
    </row>
    <row r="1207">
      <c r="A1207" s="40" t="inlineStr">
        <is>
          <t>0176633</t>
        </is>
      </c>
      <c r="B1207" s="40" t="inlineStr">
        <is>
          <t>Outras</t>
        </is>
      </c>
      <c r="D1207" s="67" t="inlineStr">
        <is>
          <t xml:space="preserve">Lucas </t>
        </is>
      </c>
      <c r="E1207" s="62" t="n">
        <v>45705</v>
      </c>
      <c r="F1207" s="67" t="inlineStr"/>
      <c r="I1207" s="67" t="inlineStr"/>
      <c r="J1207" s="67" t="inlineStr">
        <is>
          <t>Tarefa</t>
        </is>
      </c>
      <c r="K1207" s="62" t="n">
        <v>46069</v>
      </c>
      <c r="L1207" s="67" t="inlineStr">
        <is>
          <t>Marelize Controladoria</t>
        </is>
      </c>
      <c r="M1207" s="40" t="inlineStr">
        <is>
          <t>Cumprido</t>
        </is>
      </c>
      <c r="N1207" s="62" t="n">
        <v>46069</v>
      </c>
      <c r="O1207" s="67" t="inlineStr">
        <is>
          <t>Verificar 2 etapa analise geral do cliente</t>
        </is>
      </c>
    </row>
    <row r="1208">
      <c r="A1208" s="40" t="inlineStr">
        <is>
          <t>0176625</t>
        </is>
      </c>
      <c r="B1208" s="40" t="inlineStr">
        <is>
          <t>Outras</t>
        </is>
      </c>
      <c r="D1208" s="67" t="inlineStr">
        <is>
          <t xml:space="preserve">Lucas </t>
        </is>
      </c>
      <c r="E1208" s="62" t="n">
        <v>45705</v>
      </c>
      <c r="F1208" s="67" t="inlineStr"/>
      <c r="I1208" s="67" t="inlineStr"/>
      <c r="J1208" s="67" t="inlineStr">
        <is>
          <t>Evento</t>
        </is>
      </c>
      <c r="K1208" s="62" t="n">
        <v>46069</v>
      </c>
      <c r="L1208" s="67" t="inlineStr">
        <is>
          <t xml:space="preserve">Lucas </t>
        </is>
      </c>
      <c r="M1208" s="40" t="inlineStr">
        <is>
          <t>Cumprido</t>
        </is>
      </c>
      <c r="N1208" s="62" t="n">
        <v>46069</v>
      </c>
      <c r="O1208" s="67" t="inlineStr">
        <is>
          <t>Reunião Vitor Transdag</t>
        </is>
      </c>
    </row>
    <row r="1209">
      <c r="A1209" s="40" t="inlineStr">
        <is>
          <t>0176628</t>
        </is>
      </c>
      <c r="B1209" s="40" t="inlineStr">
        <is>
          <t>Outras</t>
        </is>
      </c>
      <c r="D1209" s="67" t="inlineStr">
        <is>
          <t xml:space="preserve">Lucas </t>
        </is>
      </c>
      <c r="E1209" s="62" t="n">
        <v>45705</v>
      </c>
      <c r="F1209" s="67" t="inlineStr"/>
      <c r="I1209" s="67" t="inlineStr"/>
      <c r="J1209" s="67" t="inlineStr">
        <is>
          <t>Evento</t>
        </is>
      </c>
      <c r="K1209" s="62" t="n">
        <v>46069</v>
      </c>
      <c r="L1209" s="67" t="inlineStr">
        <is>
          <t xml:space="preserve">Lucas </t>
        </is>
      </c>
      <c r="M1209" s="40" t="inlineStr">
        <is>
          <t>Cumprido</t>
        </is>
      </c>
      <c r="N1209" s="62" t="n">
        <v>46069</v>
      </c>
      <c r="O1209" s="67" t="inlineStr">
        <is>
          <t>Atendimento Karol Freire</t>
        </is>
      </c>
    </row>
    <row r="1210">
      <c r="A1210" s="40" t="inlineStr">
        <is>
          <t>0176629</t>
        </is>
      </c>
      <c r="B1210" s="40" t="inlineStr">
        <is>
          <t>Outras</t>
        </is>
      </c>
      <c r="D1210" s="67" t="inlineStr">
        <is>
          <t xml:space="preserve">Lucas </t>
        </is>
      </c>
      <c r="E1210" s="62" t="n">
        <v>45705</v>
      </c>
      <c r="F1210" s="67" t="inlineStr"/>
      <c r="I1210" s="67" t="inlineStr"/>
      <c r="J1210" s="67" t="inlineStr">
        <is>
          <t>Evento</t>
        </is>
      </c>
      <c r="K1210" s="62" t="n">
        <v>46069</v>
      </c>
      <c r="L1210" s="67" t="inlineStr">
        <is>
          <t xml:space="preserve">Lucas </t>
        </is>
      </c>
      <c r="M1210" s="40" t="inlineStr">
        <is>
          <t>Cumprido</t>
        </is>
      </c>
      <c r="N1210" s="62" t="n">
        <v>46069</v>
      </c>
      <c r="O1210" s="67" t="inlineStr">
        <is>
          <t>Reunião Julio</t>
        </is>
      </c>
    </row>
    <row r="1211">
      <c r="A1211" s="40" t="inlineStr">
        <is>
          <t>0176624</t>
        </is>
      </c>
      <c r="B1211" s="40" t="inlineStr">
        <is>
          <t>Outras</t>
        </is>
      </c>
      <c r="D1211" s="67" t="inlineStr">
        <is>
          <t xml:space="preserve">Lucas </t>
        </is>
      </c>
      <c r="E1211" s="62" t="n">
        <v>45705</v>
      </c>
      <c r="F1211" s="67" t="inlineStr"/>
      <c r="I1211" s="67" t="inlineStr">
        <is>
          <t>50298608620228240020</t>
        </is>
      </c>
      <c r="J1211" s="67" t="inlineStr">
        <is>
          <t>Prazo</t>
        </is>
      </c>
      <c r="K1211" s="62" t="n">
        <v>46070</v>
      </c>
      <c r="L1211" s="67" t="inlineStr">
        <is>
          <t xml:space="preserve">Alexia </t>
        </is>
      </c>
      <c r="M1211" s="40" t="inlineStr">
        <is>
          <t>Cumprido</t>
        </is>
      </c>
      <c r="N1211" s="62" t="n">
        <v>46070</v>
      </c>
      <c r="O1211" s="67" t="inlineStr">
        <is>
          <t>Agravo de Instrumento</t>
        </is>
      </c>
    </row>
    <row r="1212">
      <c r="A1212" s="40" t="inlineStr">
        <is>
          <t>0176631</t>
        </is>
      </c>
      <c r="B1212" s="40" t="inlineStr">
        <is>
          <t>Outras</t>
        </is>
      </c>
      <c r="D1212" s="67" t="inlineStr">
        <is>
          <t xml:space="preserve">Lucas </t>
        </is>
      </c>
      <c r="E1212" s="62" t="n">
        <v>45705</v>
      </c>
      <c r="F1212" s="67" t="inlineStr"/>
      <c r="I1212" s="67" t="inlineStr"/>
      <c r="J1212" s="67" t="inlineStr">
        <is>
          <t>Prazo</t>
        </is>
      </c>
      <c r="K1212" s="62" t="n">
        <v>46070</v>
      </c>
      <c r="L1212" s="67" t="inlineStr">
        <is>
          <t>Marelize Controladoria</t>
        </is>
      </c>
      <c r="M1212" s="40" t="inlineStr">
        <is>
          <t>Cumprido</t>
        </is>
      </c>
      <c r="N1212" s="62" t="n">
        <v>46070</v>
      </c>
      <c r="O1212" s="67" t="inlineStr">
        <is>
          <t>Cadastro de inicial de cliente</t>
        </is>
      </c>
    </row>
    <row r="1213">
      <c r="A1213" s="40" t="inlineStr">
        <is>
          <t>0176630</t>
        </is>
      </c>
      <c r="B1213" s="40" t="inlineStr">
        <is>
          <t>Outras</t>
        </is>
      </c>
      <c r="D1213" s="67" t="inlineStr">
        <is>
          <t xml:space="preserve">Lucas </t>
        </is>
      </c>
      <c r="E1213" s="62" t="n">
        <v>45705</v>
      </c>
      <c r="F1213" s="67" t="inlineStr"/>
      <c r="I1213" s="67" t="inlineStr">
        <is>
          <t>5024640-10.2022.8.24.0020</t>
        </is>
      </c>
      <c r="J1213" s="67" t="inlineStr">
        <is>
          <t>Prazo</t>
        </is>
      </c>
      <c r="K1213" s="62" t="n">
        <v>46070</v>
      </c>
      <c r="L1213" s="67" t="inlineStr">
        <is>
          <t>Jessica</t>
        </is>
      </c>
      <c r="M1213" s="40" t="inlineStr">
        <is>
          <t>Cumprido</t>
        </is>
      </c>
      <c r="N1213" s="62" t="n">
        <v>46070</v>
      </c>
      <c r="O1213" s="67" t="inlineStr">
        <is>
          <t xml:space="preserve">Prazo </t>
        </is>
      </c>
    </row>
    <row r="1214">
      <c r="A1214" s="40" t="inlineStr">
        <is>
          <t>0176634</t>
        </is>
      </c>
      <c r="B1214" s="40" t="inlineStr">
        <is>
          <t>Outras</t>
        </is>
      </c>
      <c r="D1214" s="67" t="inlineStr">
        <is>
          <t xml:space="preserve">Lucas </t>
        </is>
      </c>
      <c r="E1214" s="62" t="n">
        <v>45705</v>
      </c>
      <c r="F1214" s="67" t="inlineStr"/>
      <c r="I1214" s="67" t="inlineStr">
        <is>
          <t>5000192-49.2024.8.24.0166</t>
        </is>
      </c>
      <c r="J1214" s="67" t="inlineStr">
        <is>
          <t>Prazo</t>
        </is>
      </c>
      <c r="K1214" s="62" t="n">
        <v>46070</v>
      </c>
      <c r="L1214" s="67" t="inlineStr">
        <is>
          <t>Jessica</t>
        </is>
      </c>
      <c r="M1214" s="40" t="inlineStr">
        <is>
          <t>Cumprido</t>
        </is>
      </c>
      <c r="N1214" s="62" t="n">
        <v>46070</v>
      </c>
      <c r="O1214" s="67" t="inlineStr">
        <is>
          <t>prazo juntada doc</t>
        </is>
      </c>
    </row>
    <row r="1215">
      <c r="A1215" s="40" t="n"/>
      <c r="B1215" s="40" t="inlineStr">
        <is>
          <t>Outras</t>
        </is>
      </c>
      <c r="D1215" s="67" t="inlineStr">
        <is>
          <t>Renata Francisco Becker</t>
        </is>
      </c>
      <c r="E1215" s="62" t="n">
        <v>45708</v>
      </c>
      <c r="I1215" s="67" t="inlineStr">
        <is>
          <t>5007152-10.2025.4.04.7204</t>
        </is>
      </c>
      <c r="J1215" s="67" t="inlineStr">
        <is>
          <t>Prazo</t>
        </is>
      </c>
      <c r="K1215" s="62" t="n">
        <v>46070</v>
      </c>
      <c r="L1215" s="67" t="inlineStr">
        <is>
          <t xml:space="preserve">Alexia </t>
        </is>
      </c>
      <c r="M1215" s="40" t="inlineStr">
        <is>
          <t>Cumprido</t>
        </is>
      </c>
      <c r="N1215" s="62" t="n">
        <v>46070</v>
      </c>
      <c r="O1215" s="67" t="inlineStr">
        <is>
          <t>Pronta Contestação</t>
        </is>
      </c>
    </row>
    <row r="1216">
      <c r="A1216" s="40" t="inlineStr">
        <is>
          <t>50274606520238240020</t>
        </is>
      </c>
      <c r="B1216" s="40" t="inlineStr">
        <is>
          <t>Outras</t>
        </is>
      </c>
      <c r="D1216" s="67" t="inlineStr">
        <is>
          <t>Renata Francisco Becker</t>
        </is>
      </c>
      <c r="E1216" s="62" t="n">
        <v>45257</v>
      </c>
      <c r="F1216" s="67" t="inlineStr"/>
      <c r="I1216" s="67" t="inlineStr">
        <is>
          <t>0000211-70.2026.5.12.0000</t>
        </is>
      </c>
      <c r="J1216" s="67" t="inlineStr">
        <is>
          <t>Prazo</t>
        </is>
      </c>
      <c r="K1216" s="62" t="n">
        <v>46070</v>
      </c>
      <c r="L1216" s="67" t="inlineStr">
        <is>
          <t>Luci</t>
        </is>
      </c>
      <c r="M1216" s="40" t="inlineStr">
        <is>
          <t>Cumprido</t>
        </is>
      </c>
      <c r="N1216" s="62" t="n">
        <v>46070</v>
      </c>
      <c r="O1216" s="67" t="inlineStr">
        <is>
          <t>Recurso de Apelação</t>
        </is>
      </c>
    </row>
    <row r="1217">
      <c r="A1217" s="40" t="n"/>
      <c r="B1217" s="40" t="inlineStr">
        <is>
          <t>Outras</t>
        </is>
      </c>
      <c r="D1217" s="67" t="inlineStr">
        <is>
          <t>Renata Francisco Becker</t>
        </is>
      </c>
      <c r="E1217" s="62" t="n">
        <v>45636</v>
      </c>
      <c r="I1217" s="67" t="inlineStr"/>
      <c r="J1217" s="67" t="inlineStr">
        <is>
          <t>Prazo</t>
        </is>
      </c>
      <c r="K1217" s="62" t="n">
        <v>46070</v>
      </c>
      <c r="L1217" s="67" t="inlineStr">
        <is>
          <t xml:space="preserve">Lucas </t>
        </is>
      </c>
      <c r="M1217" s="40" t="inlineStr">
        <is>
          <t>Cumprido</t>
        </is>
      </c>
      <c r="N1217" s="62" t="n">
        <v>46070</v>
      </c>
      <c r="O1217" s="67" t="inlineStr">
        <is>
          <t>Verificar processos cíveis em nome do cliente</t>
        </is>
      </c>
    </row>
    <row r="1218">
      <c r="A1218" s="40" t="n"/>
      <c r="B1218" s="40" t="inlineStr">
        <is>
          <t>Outras</t>
        </is>
      </c>
      <c r="D1218" s="67" t="inlineStr">
        <is>
          <t>Pedro Victor</t>
        </is>
      </c>
      <c r="E1218" s="62" t="n">
        <v>45112</v>
      </c>
      <c r="I1218" s="67" t="inlineStr"/>
      <c r="J1218" s="67" t="inlineStr">
        <is>
          <t>Prazo</t>
        </is>
      </c>
      <c r="K1218" s="62" t="n">
        <v>46070</v>
      </c>
      <c r="L1218" s="67" t="inlineStr">
        <is>
          <t>Luci</t>
        </is>
      </c>
      <c r="M1218" s="40" t="inlineStr">
        <is>
          <t>Cumprido</t>
        </is>
      </c>
      <c r="N1218" s="62" t="n">
        <v>46070</v>
      </c>
      <c r="O1218" s="67" t="inlineStr">
        <is>
          <t>Verificar processos trabalhistas em nome do cliente</t>
        </is>
      </c>
    </row>
    <row r="1219">
      <c r="A1219" s="40" t="n"/>
      <c r="B1219" s="40" t="inlineStr">
        <is>
          <t>Outras</t>
        </is>
      </c>
      <c r="D1219" s="67" t="inlineStr">
        <is>
          <t>Renata Francisco Becker</t>
        </is>
      </c>
      <c r="E1219" s="62" t="n">
        <v>45707</v>
      </c>
      <c r="I1219" s="67" t="inlineStr">
        <is>
          <t>50298608620228240020</t>
        </is>
      </c>
      <c r="J1219" s="67" t="inlineStr">
        <is>
          <t>Tarefa</t>
        </is>
      </c>
      <c r="K1219" s="62" t="n">
        <v>46070</v>
      </c>
      <c r="L1219" s="67" t="inlineStr">
        <is>
          <t xml:space="preserve">Alexia </t>
        </is>
      </c>
      <c r="M1219" s="40" t="inlineStr">
        <is>
          <t>Cumprido</t>
        </is>
      </c>
      <c r="N1219" s="62" t="n">
        <v>46070</v>
      </c>
      <c r="O1219" s="67" t="inlineStr">
        <is>
          <t>Emitir guia recursal</t>
        </is>
      </c>
    </row>
    <row r="1220">
      <c r="A1220" s="40" t="inlineStr">
        <is>
          <t>5007405-35.2024.8.24.0028</t>
        </is>
      </c>
      <c r="B1220" s="40" t="inlineStr">
        <is>
          <t>Outras</t>
        </is>
      </c>
      <c r="D1220" s="67" t="inlineStr">
        <is>
          <t>Renata Francisco Becker</t>
        </is>
      </c>
      <c r="E1220" s="62" t="n">
        <v>45616</v>
      </c>
      <c r="F1220" s="67" t="inlineStr"/>
      <c r="I1220" s="67" t="inlineStr">
        <is>
          <t>5007226-28.2024.8.24.0020</t>
        </is>
      </c>
      <c r="J1220" s="67" t="inlineStr">
        <is>
          <t>Tarefa</t>
        </is>
      </c>
      <c r="K1220" s="62" t="n">
        <v>46070</v>
      </c>
      <c r="L1220" s="67" t="inlineStr">
        <is>
          <t xml:space="preserve">Alexia </t>
        </is>
      </c>
      <c r="M1220" s="40" t="inlineStr">
        <is>
          <t>Cumprido</t>
        </is>
      </c>
      <c r="N1220" s="62" t="n">
        <v>46070</v>
      </c>
      <c r="O1220" s="67" t="inlineStr">
        <is>
          <t xml:space="preserve">Protocolo </t>
        </is>
      </c>
    </row>
    <row r="1221">
      <c r="A1221" s="40" t="inlineStr">
        <is>
          <t>5059630-19.2024.8.24.0000</t>
        </is>
      </c>
      <c r="B1221" s="40" t="inlineStr">
        <is>
          <t>Outras</t>
        </is>
      </c>
      <c r="D1221" s="67" t="inlineStr">
        <is>
          <t>Renata Francisco Becker</t>
        </is>
      </c>
      <c r="E1221" s="62" t="n">
        <v>45581</v>
      </c>
      <c r="F1221" s="67" t="inlineStr"/>
      <c r="I1221" s="67" t="inlineStr"/>
      <c r="J1221" s="67" t="inlineStr">
        <is>
          <t>Tarefa</t>
        </is>
      </c>
      <c r="K1221" s="62" t="n">
        <v>46070</v>
      </c>
      <c r="L1221" s="67" t="inlineStr">
        <is>
          <t>Marelize Controladoria</t>
        </is>
      </c>
      <c r="M1221" s="40" t="inlineStr">
        <is>
          <t>Cumprido</t>
        </is>
      </c>
      <c r="N1221" s="62" t="n">
        <v>46070</v>
      </c>
      <c r="O1221" s="67" t="inlineStr">
        <is>
          <t>17/02/2026 - Conferir prazos no TJs - TJSC - TJRS - TRT12 - TRF4 - JFSC - TJRJ - TJPR - TJPA - TJSP - TJGO;</t>
        </is>
      </c>
    </row>
    <row r="1222">
      <c r="A1222" s="40" t="inlineStr">
        <is>
          <t>5006361-85.2018.4.04.7204</t>
        </is>
      </c>
      <c r="B1222" s="40" t="inlineStr">
        <is>
          <t>Outras</t>
        </is>
      </c>
      <c r="D1222" s="67" t="inlineStr">
        <is>
          <t>Renata Francisco Becker</t>
        </is>
      </c>
      <c r="E1222" s="62" t="n">
        <v>44741</v>
      </c>
      <c r="F1222" s="67" t="inlineStr">
        <is>
          <t>Juízo Substituto da 4ª VF de Criciúma</t>
        </is>
      </c>
      <c r="I1222" s="67" t="inlineStr"/>
      <c r="J1222" s="67" t="inlineStr">
        <is>
          <t>Tarefa</t>
        </is>
      </c>
      <c r="K1222" s="62" t="n">
        <v>46070</v>
      </c>
      <c r="L1222" s="67" t="inlineStr">
        <is>
          <t>Marelize Controladoria</t>
        </is>
      </c>
      <c r="M1222" s="40" t="inlineStr">
        <is>
          <t>Cumprido</t>
        </is>
      </c>
      <c r="N1222" s="62" t="n">
        <v>46070</v>
      </c>
      <c r="O1222" s="67" t="inlineStr">
        <is>
          <t>17/02/2026 - Fazer Agendas.</t>
        </is>
      </c>
    </row>
    <row r="1223">
      <c r="A1223" s="40" t="inlineStr">
        <is>
          <t>0001149-61.2023.5.12.0003</t>
        </is>
      </c>
      <c r="B1223" s="40" t="inlineStr">
        <is>
          <t>Outras</t>
        </is>
      </c>
      <c r="D1223" s="67" t="inlineStr">
        <is>
          <t>Pedro Victor</t>
        </is>
      </c>
      <c r="E1223" s="62" t="n">
        <v>45349</v>
      </c>
      <c r="F1223" s="67" t="inlineStr">
        <is>
          <t>CEJUSC-JT/Criciuma</t>
        </is>
      </c>
      <c r="I1223" s="67" t="inlineStr"/>
      <c r="J1223" s="67" t="inlineStr">
        <is>
          <t>Tarefa</t>
        </is>
      </c>
      <c r="K1223" s="62" t="n">
        <v>46070</v>
      </c>
      <c r="L1223" s="67" t="inlineStr">
        <is>
          <t>Marelize Controladoria</t>
        </is>
      </c>
      <c r="M1223" s="40" t="inlineStr">
        <is>
          <t>Cumprido</t>
        </is>
      </c>
      <c r="N1223" s="62" t="n">
        <v>46070</v>
      </c>
      <c r="O1223" s="67" t="inlineStr">
        <is>
          <t>17/02/2026 - Fazer Publicações.</t>
        </is>
      </c>
    </row>
    <row r="1224">
      <c r="A1224" s="40" t="inlineStr">
        <is>
          <t>5003604-58.2024.8.24.0078</t>
        </is>
      </c>
      <c r="B1224" s="40" t="inlineStr">
        <is>
          <t>Outras</t>
        </is>
      </c>
      <c r="D1224" s="67" t="inlineStr">
        <is>
          <t>Renata Francisco Becker</t>
        </is>
      </c>
      <c r="E1224" s="62" t="n">
        <v>45540</v>
      </c>
      <c r="F1224" s="67" t="inlineStr">
        <is>
          <t>Juízo da 1ª Vara da Comarca de Urussanga</t>
        </is>
      </c>
      <c r="I1224" s="67" t="inlineStr"/>
      <c r="J1224" s="67" t="inlineStr">
        <is>
          <t>Tarefa</t>
        </is>
      </c>
      <c r="K1224" s="62" t="n">
        <v>46070</v>
      </c>
      <c r="L1224" s="67" t="inlineStr">
        <is>
          <t>Marelize Controladoria</t>
        </is>
      </c>
      <c r="M1224" s="40" t="inlineStr">
        <is>
          <t>Cumprido</t>
        </is>
      </c>
      <c r="N1224" s="62" t="n">
        <v>46070</v>
      </c>
      <c r="O1224" s="67" t="inlineStr">
        <is>
          <t>17/02/2026 - Olhar E-mails.</t>
        </is>
      </c>
    </row>
    <row r="1225">
      <c r="A1225" s="40" t="inlineStr">
        <is>
          <t>5010035-88.2022.8.24.0075</t>
        </is>
      </c>
      <c r="B1225" s="40" t="inlineStr">
        <is>
          <t>Outras</t>
        </is>
      </c>
      <c r="D1225" s="67" t="inlineStr">
        <is>
          <t>Pedro Victor</t>
        </is>
      </c>
      <c r="E1225" s="62" t="n">
        <v>45470</v>
      </c>
      <c r="F1225" s="67" t="inlineStr">
        <is>
          <t>Juízo da 2ª Vara Criminal da Comarca de Tubarão</t>
        </is>
      </c>
      <c r="I1225" s="67" t="inlineStr">
        <is>
          <t>0000211-70.2026.5.12.0000</t>
        </is>
      </c>
      <c r="J1225" s="67" t="inlineStr">
        <is>
          <t>Tarefa</t>
        </is>
      </c>
      <c r="K1225" s="62" t="n">
        <v>46070</v>
      </c>
      <c r="L1225" s="67" t="inlineStr">
        <is>
          <t>Luci</t>
        </is>
      </c>
      <c r="M1225" s="40" t="inlineStr">
        <is>
          <t>Cumprido</t>
        </is>
      </c>
      <c r="N1225" s="62" t="n">
        <v>46070</v>
      </c>
      <c r="O1225" s="67" t="inlineStr">
        <is>
          <t>Emissão de depósito/preparo recursal.</t>
        </is>
      </c>
    </row>
    <row r="1226">
      <c r="A1226" s="40" t="n"/>
      <c r="B1226" s="40" t="inlineStr">
        <is>
          <t>Outras</t>
        </is>
      </c>
      <c r="D1226" s="67" t="inlineStr">
        <is>
          <t>Renata Francisco Becker</t>
        </is>
      </c>
      <c r="E1226" s="62" t="n">
        <v>45691</v>
      </c>
      <c r="I1226" s="67" t="inlineStr"/>
      <c r="J1226" s="67" t="inlineStr">
        <is>
          <t>Tarefa</t>
        </is>
      </c>
      <c r="K1226" s="62" t="n">
        <v>46070</v>
      </c>
      <c r="L1226" s="67" t="inlineStr">
        <is>
          <t xml:space="preserve">Lucas </t>
        </is>
      </c>
      <c r="M1226" s="40" t="inlineStr">
        <is>
          <t>Cumprido</t>
        </is>
      </c>
      <c r="N1226" s="62" t="n">
        <v>46070</v>
      </c>
      <c r="O1226" s="67" t="inlineStr">
        <is>
          <t>Finalização</t>
        </is>
      </c>
    </row>
    <row r="1227">
      <c r="A1227" s="40" t="inlineStr">
        <is>
          <t>5012875-54.2018.4.04.7204</t>
        </is>
      </c>
      <c r="B1227" s="40" t="inlineStr">
        <is>
          <t>Outras</t>
        </is>
      </c>
      <c r="D1227" s="67" t="inlineStr">
        <is>
          <t>Renata Francisco Becker</t>
        </is>
      </c>
      <c r="E1227" s="62" t="n">
        <v>45600</v>
      </c>
      <c r="F1227" s="67" t="inlineStr">
        <is>
          <t>Juízo Federal da Central de Controle e Apoio em Execução Fiscal</t>
        </is>
      </c>
      <c r="I1227" s="67" t="inlineStr">
        <is>
          <t>5023102-23.2024.8.24.0020</t>
        </is>
      </c>
      <c r="J1227" s="67" t="inlineStr">
        <is>
          <t>Tarefa</t>
        </is>
      </c>
      <c r="K1227" s="62" t="n">
        <v>46070</v>
      </c>
      <c r="L1227" s="67" t="inlineStr">
        <is>
          <t xml:space="preserve">Alexia </t>
        </is>
      </c>
      <c r="M1227" s="40" t="inlineStr">
        <is>
          <t>Cumprido</t>
        </is>
      </c>
      <c r="N1227" s="62" t="n">
        <v>46070</v>
      </c>
      <c r="O1227" s="67" t="inlineStr">
        <is>
          <t>Intimação das testemunhas</t>
        </is>
      </c>
    </row>
    <row r="1228">
      <c r="A1228" s="40" t="inlineStr">
        <is>
          <t>5006888-37.2018.4.04.7204</t>
        </is>
      </c>
      <c r="B1228" s="40" t="inlineStr">
        <is>
          <t>Outras</t>
        </is>
      </c>
      <c r="D1228" s="67" t="inlineStr">
        <is>
          <t>Renata Francisco Becker</t>
        </is>
      </c>
      <c r="E1228" s="62" t="n">
        <v>44711</v>
      </c>
      <c r="F1228" s="67" t="inlineStr">
        <is>
          <t>Juízo Substituto da 4ª VF de Criciúma</t>
        </is>
      </c>
      <c r="I1228" s="67" t="inlineStr">
        <is>
          <t>0000211-70.2026.5.12.0000</t>
        </is>
      </c>
      <c r="J1228" s="67" t="inlineStr">
        <is>
          <t>Tarefa</t>
        </is>
      </c>
      <c r="K1228" s="62" t="n">
        <v>46070</v>
      </c>
      <c r="L1228" s="67" t="inlineStr">
        <is>
          <t>Luci</t>
        </is>
      </c>
      <c r="M1228" s="40" t="inlineStr">
        <is>
          <t>Cumprido</t>
        </is>
      </c>
      <c r="N1228" s="62" t="n">
        <v>46070</v>
      </c>
      <c r="O1228" s="67" t="inlineStr">
        <is>
          <t>Protocolo</t>
        </is>
      </c>
    </row>
    <row r="1229">
      <c r="A1229" s="40" t="inlineStr">
        <is>
          <t>0000488-62.2019.5.12.0055</t>
        </is>
      </c>
      <c r="B1229" s="40" t="inlineStr">
        <is>
          <t>Outras</t>
        </is>
      </c>
      <c r="D1229" s="67" t="inlineStr">
        <is>
          <t>Renata Francisco Becker</t>
        </is>
      </c>
      <c r="E1229" s="62" t="n">
        <v>44703</v>
      </c>
      <c r="F1229" s="67" t="inlineStr">
        <is>
          <t>4ª VARA DO TRABALHO DE CRICIÚMA</t>
        </is>
      </c>
      <c r="I1229" s="67" t="inlineStr"/>
      <c r="J1229" s="67" t="inlineStr">
        <is>
          <t>Tarefa</t>
        </is>
      </c>
      <c r="K1229" s="62" t="n">
        <v>46070</v>
      </c>
      <c r="L1229" s="67" t="inlineStr">
        <is>
          <t>Luci</t>
        </is>
      </c>
      <c r="M1229" s="40" t="inlineStr">
        <is>
          <t>Cumprido</t>
        </is>
      </c>
      <c r="N1229" s="62" t="n">
        <v>46070</v>
      </c>
      <c r="O1229" s="67" t="inlineStr">
        <is>
          <t>RETORNO CLIENTE - Referente ao contrato da Francine, ela questionou sobre a multa e disse não estar de acordo, pois a multa está direcionada só para ela. Também pontuou que não foi adicionada a questão do reajuste anual do valor conforme a categoria</t>
        </is>
      </c>
    </row>
    <row r="1230">
      <c r="A1230" s="40" t="inlineStr">
        <is>
          <t>00007630620225120055</t>
        </is>
      </c>
      <c r="B1230" s="40" t="inlineStr">
        <is>
          <t>Outras</t>
        </is>
      </c>
      <c r="D1230" s="67" t="inlineStr">
        <is>
          <t>Pedro Victor</t>
        </is>
      </c>
      <c r="E1230" s="62" t="n">
        <v>44896</v>
      </c>
      <c r="F1230" s="67" t="inlineStr">
        <is>
          <t>CEJUSC-JT/Criciuma</t>
        </is>
      </c>
      <c r="I1230" s="67" t="inlineStr"/>
      <c r="J1230" s="67" t="inlineStr">
        <is>
          <t>Tarefa</t>
        </is>
      </c>
      <c r="K1230" s="62" t="n">
        <v>46070</v>
      </c>
      <c r="L1230" s="67" t="inlineStr">
        <is>
          <t>Renata Francisco Becker</t>
        </is>
      </c>
      <c r="M1230" s="40" t="inlineStr">
        <is>
          <t>Cumprido</t>
        </is>
      </c>
      <c r="N1230" s="62" t="n">
        <v>46070</v>
      </c>
      <c r="O1230" s="67" t="inlineStr">
        <is>
          <t xml:space="preserve">Revisão </t>
        </is>
      </c>
    </row>
    <row r="1231">
      <c r="A1231" s="40" t="n"/>
      <c r="B1231" s="40" t="inlineStr">
        <is>
          <t>Outras</t>
        </is>
      </c>
      <c r="D1231" s="67" t="inlineStr">
        <is>
          <t>Luci</t>
        </is>
      </c>
      <c r="E1231" s="62" t="n">
        <v>45573</v>
      </c>
      <c r="I1231" s="67" t="inlineStr">
        <is>
          <t>0001269-74.2025.5.12.0055</t>
        </is>
      </c>
      <c r="J1231" s="67" t="inlineStr">
        <is>
          <t>Tarefa</t>
        </is>
      </c>
      <c r="K1231" s="62" t="n">
        <v>46070</v>
      </c>
      <c r="L1231" s="67" t="inlineStr">
        <is>
          <t>Renata Francisco Becker</t>
        </is>
      </c>
      <c r="M1231" s="40" t="inlineStr">
        <is>
          <t>Cumprido</t>
        </is>
      </c>
      <c r="N1231" s="62" t="n">
        <v>46070</v>
      </c>
      <c r="O1231" s="67" t="inlineStr">
        <is>
          <t>Revisão</t>
        </is>
      </c>
    </row>
    <row r="1232">
      <c r="A1232" s="40" t="inlineStr">
        <is>
          <t>5004272-87.2021.8.24.0028</t>
        </is>
      </c>
      <c r="B1232" s="40" t="inlineStr">
        <is>
          <t>Outras</t>
        </is>
      </c>
      <c r="D1232" s="67" t="inlineStr">
        <is>
          <t>Renata Francisco Becker</t>
        </is>
      </c>
      <c r="E1232" s="62" t="n">
        <v>44701</v>
      </c>
      <c r="F1232" s="67" t="inlineStr">
        <is>
          <t>Juizo Da 1ª Vara Da Comarca De Icara</t>
        </is>
      </c>
      <c r="I1232" s="67" t="inlineStr">
        <is>
          <t>40013348420268260100</t>
        </is>
      </c>
      <c r="J1232" s="67" t="inlineStr">
        <is>
          <t>Tarefa</t>
        </is>
      </c>
      <c r="K1232" s="62" t="n">
        <v>46070</v>
      </c>
      <c r="L1232" s="67" t="inlineStr">
        <is>
          <t>Renata Francisco Becker</t>
        </is>
      </c>
      <c r="M1232" s="40" t="inlineStr">
        <is>
          <t>Cumprido</t>
        </is>
      </c>
      <c r="N1232" s="62" t="n">
        <v>46070</v>
      </c>
      <c r="O1232" s="67" t="inlineStr">
        <is>
          <t>Revisão</t>
        </is>
      </c>
    </row>
    <row r="1233">
      <c r="A1233" s="40" t="n"/>
      <c r="B1233" s="40" t="inlineStr">
        <is>
          <t>Outras</t>
        </is>
      </c>
      <c r="D1233" s="67" t="inlineStr">
        <is>
          <t>Pedro Victor</t>
        </is>
      </c>
      <c r="E1233" s="62" t="n">
        <v>45672</v>
      </c>
      <c r="I1233" s="67" t="inlineStr"/>
      <c r="J1233" s="67" t="inlineStr">
        <is>
          <t>Tarefa</t>
        </is>
      </c>
      <c r="K1233" s="62" t="n">
        <v>46070</v>
      </c>
      <c r="L1233" s="67" t="inlineStr">
        <is>
          <t>Marelize Controladoria</t>
        </is>
      </c>
      <c r="M1233" s="40" t="inlineStr">
        <is>
          <t>Cumprido</t>
        </is>
      </c>
      <c r="N1233" s="62" t="n">
        <v>46070</v>
      </c>
      <c r="O1233" s="67" t="inlineStr">
        <is>
          <t>Verificar 3 etapa auditorias</t>
        </is>
      </c>
    </row>
    <row r="1234">
      <c r="A1234" s="40" t="inlineStr">
        <is>
          <t>5012346-98.2019.4.04.7204</t>
        </is>
      </c>
      <c r="B1234" s="40" t="inlineStr">
        <is>
          <t>Outras</t>
        </is>
      </c>
      <c r="D1234" s="67" t="inlineStr">
        <is>
          <t>Renata Francisco Becker</t>
        </is>
      </c>
      <c r="E1234" s="62" t="n">
        <v>44707</v>
      </c>
      <c r="F1234" s="67" t="inlineStr">
        <is>
          <t>Juízo Substituto da 1ª VF de Tubarão</t>
        </is>
      </c>
      <c r="I1234" s="67" t="inlineStr"/>
      <c r="J1234" s="67" t="inlineStr">
        <is>
          <t>Evento</t>
        </is>
      </c>
      <c r="K1234" s="62" t="n">
        <v>46070</v>
      </c>
      <c r="L1234" s="67" t="inlineStr">
        <is>
          <t xml:space="preserve">Lucas </t>
        </is>
      </c>
      <c r="M1234" s="40" t="inlineStr">
        <is>
          <t>Cumprido</t>
        </is>
      </c>
      <c r="N1234" s="62" t="n">
        <v>46070</v>
      </c>
      <c r="O1234" s="67" t="inlineStr">
        <is>
          <t>Reunião Rafaela (Vonshér)</t>
        </is>
      </c>
    </row>
    <row r="1235">
      <c r="A1235" s="40" t="n"/>
      <c r="B1235" s="40" t="inlineStr">
        <is>
          <t>Outras</t>
        </is>
      </c>
      <c r="D1235" s="67" t="inlineStr">
        <is>
          <t>Renata Francisco Becker</t>
        </is>
      </c>
      <c r="E1235" s="62" t="n">
        <v>45610</v>
      </c>
      <c r="I1235" s="67" t="inlineStr"/>
      <c r="J1235" s="67" t="inlineStr">
        <is>
          <t>Prazo</t>
        </is>
      </c>
      <c r="K1235" s="62" t="n">
        <v>46071</v>
      </c>
      <c r="L1235" s="67" t="inlineStr">
        <is>
          <t xml:space="preserve">Lucas </t>
        </is>
      </c>
      <c r="M1235" s="40" t="inlineStr">
        <is>
          <t>Cumprido</t>
        </is>
      </c>
      <c r="N1235" s="62" t="n">
        <v>46071</v>
      </c>
      <c r="O1235" s="67" t="inlineStr">
        <is>
          <t>Alterações - Contrato de Prestação de Serviços (Gilson Colonhi)</t>
        </is>
      </c>
    </row>
    <row r="1236">
      <c r="A1236" s="40" t="inlineStr">
        <is>
          <t>5012338-24.2019.4.04.7204</t>
        </is>
      </c>
      <c r="B1236" s="40" t="inlineStr">
        <is>
          <t>Outras</t>
        </is>
      </c>
      <c r="D1236" s="67" t="inlineStr">
        <is>
          <t>Renata Francisco Becker</t>
        </is>
      </c>
      <c r="E1236" s="62" t="n">
        <v>44707</v>
      </c>
      <c r="F1236" s="67" t="inlineStr">
        <is>
          <t>Juízo Federal da 1ª VF de Tubarão</t>
        </is>
      </c>
      <c r="I1236" s="67" t="inlineStr"/>
      <c r="J1236" s="67" t="inlineStr">
        <is>
          <t>Prazo</t>
        </is>
      </c>
      <c r="K1236" s="62" t="n">
        <v>46071</v>
      </c>
      <c r="L1236" s="67" t="inlineStr">
        <is>
          <t>Luci</t>
        </is>
      </c>
      <c r="M1236" s="40" t="inlineStr">
        <is>
          <t>Cumprido</t>
        </is>
      </c>
      <c r="N1236" s="62" t="n">
        <v>46071</v>
      </c>
      <c r="O1236" s="67" t="inlineStr">
        <is>
          <t>Analisar possibilidade de ingresso com ação judicial trabalhista - KAROLINE CRISTINA FREIRE DA COSTA</t>
        </is>
      </c>
    </row>
    <row r="1237">
      <c r="A1237" s="40" t="inlineStr">
        <is>
          <t>5012252-53.2019.4.04.7204</t>
        </is>
      </c>
      <c r="B1237" s="40" t="inlineStr">
        <is>
          <t>Outras</t>
        </is>
      </c>
      <c r="D1237" s="67" t="inlineStr">
        <is>
          <t>Renata Francisco Becker</t>
        </is>
      </c>
      <c r="E1237" s="62" t="n">
        <v>44707</v>
      </c>
      <c r="F1237" s="67" t="inlineStr">
        <is>
          <t>Juízo Substituto da 4ª VF de Criciúma</t>
        </is>
      </c>
      <c r="I1237" s="67" t="inlineStr"/>
      <c r="J1237" s="67" t="inlineStr">
        <is>
          <t>Prazo</t>
        </is>
      </c>
      <c r="K1237" s="62" t="n">
        <v>46071</v>
      </c>
      <c r="L1237" s="67" t="inlineStr">
        <is>
          <t>Luci</t>
        </is>
      </c>
      <c r="M1237" s="40" t="inlineStr">
        <is>
          <t>Cumprido</t>
        </is>
      </c>
      <c r="N1237" s="62" t="n">
        <v>46071</v>
      </c>
      <c r="O1237" s="67" t="inlineStr">
        <is>
          <t>Analise de Contrato de Trabalho (LUIZ FERNANDO GREGÓRIO)</t>
        </is>
      </c>
    </row>
    <row r="1238">
      <c r="A1238" s="40" t="n"/>
      <c r="B1238" s="40" t="inlineStr">
        <is>
          <t>Outras</t>
        </is>
      </c>
      <c r="D1238" s="67" t="inlineStr">
        <is>
          <t>Pedro Victor</t>
        </is>
      </c>
      <c r="E1238" s="62" t="n">
        <v>45671</v>
      </c>
      <c r="I1238" s="67" t="inlineStr"/>
      <c r="J1238" s="67" t="inlineStr">
        <is>
          <t>Prazo</t>
        </is>
      </c>
      <c r="K1238" s="62" t="n">
        <v>46071</v>
      </c>
      <c r="L1238" s="67" t="inlineStr">
        <is>
          <t>Luci</t>
        </is>
      </c>
      <c r="M1238" s="40" t="inlineStr">
        <is>
          <t>Cumprido</t>
        </is>
      </c>
      <c r="N1238" s="62" t="n">
        <v>46071</v>
      </c>
      <c r="O1238" s="67" t="inlineStr">
        <is>
          <t>Analise de Contrato Social da empresa (Ramos)</t>
        </is>
      </c>
    </row>
    <row r="1239">
      <c r="A1239" s="40" t="inlineStr">
        <is>
          <t>5056607-65.2024.8.24.0000</t>
        </is>
      </c>
      <c r="B1239" s="40" t="inlineStr">
        <is>
          <t>Outras</t>
        </is>
      </c>
      <c r="D1239" s="67" t="inlineStr">
        <is>
          <t>Renata Francisco Becker</t>
        </is>
      </c>
      <c r="E1239" s="62" t="n">
        <v>45553</v>
      </c>
      <c r="F1239" s="67" t="inlineStr"/>
      <c r="I1239" s="67" t="inlineStr">
        <is>
          <t>5012524-64.2025.8.24.0020</t>
        </is>
      </c>
      <c r="J1239" s="67" t="inlineStr">
        <is>
          <t>Prazo</t>
        </is>
      </c>
      <c r="K1239" s="62" t="n">
        <v>46071</v>
      </c>
      <c r="L1239" s="67" t="inlineStr">
        <is>
          <t>Renata Francisco Becker</t>
        </is>
      </c>
      <c r="M1239" s="40" t="inlineStr">
        <is>
          <t>Cumprido</t>
        </is>
      </c>
      <c r="N1239" s="62" t="n">
        <v>46071</v>
      </c>
      <c r="O1239" s="67" t="inlineStr">
        <is>
          <t>Ciencia da Sentença</t>
        </is>
      </c>
    </row>
    <row r="1240">
      <c r="A1240" s="40" t="n"/>
      <c r="B1240" s="40" t="inlineStr">
        <is>
          <t>Outras</t>
        </is>
      </c>
      <c r="D1240" s="67" t="inlineStr">
        <is>
          <t>Renata Francisco Becker</t>
        </is>
      </c>
      <c r="E1240" s="62" t="n">
        <v>45674</v>
      </c>
      <c r="I1240" s="67" t="inlineStr">
        <is>
          <t>5015535-04.2025.8.24.0020</t>
        </is>
      </c>
      <c r="J1240" s="67" t="inlineStr">
        <is>
          <t>Prazo</t>
        </is>
      </c>
      <c r="K1240" s="62" t="n">
        <v>46071</v>
      </c>
      <c r="L1240" s="67" t="inlineStr">
        <is>
          <t>Renata Francisco Becker</t>
        </is>
      </c>
      <c r="M1240" s="40" t="inlineStr">
        <is>
          <t>Cumprido</t>
        </is>
      </c>
      <c r="N1240" s="62" t="n">
        <v>46071</v>
      </c>
      <c r="O1240" s="67" t="inlineStr">
        <is>
          <t>Ciencia da Sentença</t>
        </is>
      </c>
    </row>
    <row r="1241">
      <c r="A1241" s="40" t="inlineStr">
        <is>
          <t>0000472-69.2023.5.12.0055</t>
        </is>
      </c>
      <c r="B1241" s="40" t="inlineStr">
        <is>
          <t>Outras</t>
        </is>
      </c>
      <c r="D1241" s="67" t="inlineStr">
        <is>
          <t>Pedro Victor</t>
        </is>
      </c>
      <c r="E1241" s="62" t="n">
        <v>45042</v>
      </c>
      <c r="F1241" s="67" t="inlineStr"/>
      <c r="I1241" s="67" t="inlineStr"/>
      <c r="J1241" s="67" t="inlineStr">
        <is>
          <t>Prazo</t>
        </is>
      </c>
      <c r="K1241" s="62" t="n">
        <v>46071</v>
      </c>
      <c r="L1241" s="67" t="inlineStr">
        <is>
          <t xml:space="preserve">Alexia </t>
        </is>
      </c>
      <c r="M1241" s="40" t="inlineStr">
        <is>
          <t>Cumprido</t>
        </is>
      </c>
      <c r="N1241" s="62" t="n">
        <v>46071</v>
      </c>
      <c r="O1241" s="67" t="inlineStr">
        <is>
          <t>Liberação matrícula 43.594</t>
        </is>
      </c>
    </row>
    <row r="1242">
      <c r="A1242" s="40" t="inlineStr">
        <is>
          <t>5028573-20.2024.8.24.0020</t>
        </is>
      </c>
      <c r="B1242" s="40" t="inlineStr">
        <is>
          <t>Outras</t>
        </is>
      </c>
      <c r="D1242" s="67" t="inlineStr">
        <is>
          <t>Renata Francisco Becker</t>
        </is>
      </c>
      <c r="E1242" s="62" t="n">
        <v>45593</v>
      </c>
      <c r="F1242" s="67" t="inlineStr">
        <is>
          <t>Juízo da Vara da Família da Comarca de Criciúma</t>
        </is>
      </c>
      <c r="I1242" s="67" t="inlineStr">
        <is>
          <t>00015545420255120027</t>
        </is>
      </c>
      <c r="J1242" s="67" t="inlineStr">
        <is>
          <t>Prazo</t>
        </is>
      </c>
      <c r="K1242" s="62" t="n">
        <v>46071</v>
      </c>
      <c r="L1242" s="67" t="inlineStr">
        <is>
          <t>Luci</t>
        </is>
      </c>
      <c r="M1242" s="40" t="inlineStr">
        <is>
          <t>Cumprido</t>
        </is>
      </c>
      <c r="N1242" s="62" t="n">
        <v>46071</v>
      </c>
      <c r="O1242" s="67" t="inlineStr">
        <is>
          <t>Prazo</t>
        </is>
      </c>
    </row>
    <row r="1243">
      <c r="A1243" s="40" t="n"/>
      <c r="B1243" s="40" t="inlineStr">
        <is>
          <t>Outras</t>
        </is>
      </c>
      <c r="D1243" s="67" t="inlineStr">
        <is>
          <t>Renata Francisco Becker</t>
        </is>
      </c>
      <c r="E1243" s="62" t="n">
        <v>45621</v>
      </c>
      <c r="F1243" s="67" t="inlineStr"/>
      <c r="I1243" s="67" t="inlineStr">
        <is>
          <t>0000723-11.2022.5.12.0027</t>
        </is>
      </c>
      <c r="J1243" s="67" t="inlineStr">
        <is>
          <t>Prazo</t>
        </is>
      </c>
      <c r="K1243" s="62" t="n">
        <v>46071</v>
      </c>
      <c r="L1243" s="67" t="inlineStr">
        <is>
          <t>Luci</t>
        </is>
      </c>
      <c r="M1243" s="40" t="inlineStr">
        <is>
          <t>Cumprido</t>
        </is>
      </c>
      <c r="N1243" s="62" t="n">
        <v>46071</v>
      </c>
      <c r="O1243" s="67" t="inlineStr">
        <is>
          <t>Prazo</t>
        </is>
      </c>
    </row>
    <row r="1244">
      <c r="A1244" s="40" t="n"/>
      <c r="B1244" s="40" t="inlineStr">
        <is>
          <t>Outras</t>
        </is>
      </c>
      <c r="D1244" s="67" t="inlineStr">
        <is>
          <t>Renata Francisco Becker</t>
        </is>
      </c>
      <c r="E1244" s="62" t="n">
        <v>45666</v>
      </c>
      <c r="I1244" s="67" t="inlineStr">
        <is>
          <t>5001164-58.2020.8.24.0166</t>
        </is>
      </c>
      <c r="J1244" s="67" t="inlineStr">
        <is>
          <t>Prazo</t>
        </is>
      </c>
      <c r="K1244" s="62" t="n">
        <v>46071</v>
      </c>
      <c r="L1244" s="67" t="inlineStr">
        <is>
          <t xml:space="preserve">Alexia </t>
        </is>
      </c>
      <c r="M1244" s="40" t="inlineStr">
        <is>
          <t>Cumprido</t>
        </is>
      </c>
      <c r="N1244" s="62" t="n">
        <v>46071</v>
      </c>
      <c r="O1244" s="67" t="inlineStr">
        <is>
          <t>Prazo</t>
        </is>
      </c>
    </row>
    <row r="1245">
      <c r="A1245" s="40" t="inlineStr">
        <is>
          <t>5002489-76.2021.8.24.0055</t>
        </is>
      </c>
      <c r="B1245" s="40" t="inlineStr">
        <is>
          <t>Outras</t>
        </is>
      </c>
      <c r="D1245" s="67" t="inlineStr">
        <is>
          <t>Renata Francisco Becker</t>
        </is>
      </c>
      <c r="E1245" s="62" t="n">
        <v>44701</v>
      </c>
      <c r="F1245" s="67" t="inlineStr">
        <is>
          <t>Juizo Da 1ª Vara Da Comarca De Rio Negrinho</t>
        </is>
      </c>
      <c r="I1245" s="67" t="inlineStr">
        <is>
          <t>5224773-07.2025.8.21.0001</t>
        </is>
      </c>
      <c r="J1245" s="67" t="inlineStr">
        <is>
          <t>Prazo</t>
        </is>
      </c>
      <c r="K1245" s="62" t="n">
        <v>46071</v>
      </c>
      <c r="L1245" s="67" t="inlineStr">
        <is>
          <t>Jessica</t>
        </is>
      </c>
      <c r="M1245" s="40" t="inlineStr">
        <is>
          <t>Cumprido</t>
        </is>
      </c>
      <c r="N1245" s="62" t="n">
        <v>46071</v>
      </c>
      <c r="O1245" s="67" t="inlineStr">
        <is>
          <t>Prazo</t>
        </is>
      </c>
    </row>
    <row r="1246">
      <c r="A1246" s="40" t="n"/>
      <c r="B1246" s="40" t="inlineStr">
        <is>
          <t>Outras</t>
        </is>
      </c>
      <c r="D1246" s="67" t="inlineStr">
        <is>
          <t>Luci</t>
        </is>
      </c>
      <c r="E1246" s="62" t="n">
        <v>45573</v>
      </c>
      <c r="I1246" s="67" t="inlineStr">
        <is>
          <t>5004890-17.2025.8.21.0047</t>
        </is>
      </c>
      <c r="J1246" s="67" t="inlineStr">
        <is>
          <t>Prazo</t>
        </is>
      </c>
      <c r="K1246" s="62" t="n">
        <v>46071</v>
      </c>
      <c r="L1246" s="67" t="inlineStr">
        <is>
          <t>Renata Francisco Becker</t>
        </is>
      </c>
      <c r="M1246" s="40" t="inlineStr">
        <is>
          <t>Cumprido</t>
        </is>
      </c>
      <c r="N1246" s="62" t="n">
        <v>46071</v>
      </c>
      <c r="O1246" s="67" t="inlineStr">
        <is>
          <t>prazo alvara kollen</t>
        </is>
      </c>
    </row>
    <row r="1247">
      <c r="A1247" s="40" t="inlineStr">
        <is>
          <t>5006075-10.2018.4.04.7204</t>
        </is>
      </c>
      <c r="B1247" s="40" t="inlineStr">
        <is>
          <t>Outras</t>
        </is>
      </c>
      <c r="D1247" s="67" t="inlineStr">
        <is>
          <t>Renata Francisco Becker</t>
        </is>
      </c>
      <c r="E1247" s="62" t="n">
        <v>44719</v>
      </c>
      <c r="F1247" s="67" t="inlineStr">
        <is>
          <t>Juízo Federal da 4ª VF de Criciúma</t>
        </is>
      </c>
      <c r="I1247" s="67" t="inlineStr">
        <is>
          <t>50155731620258240020</t>
        </is>
      </c>
      <c r="J1247" s="67" t="inlineStr">
        <is>
          <t>Prazo</t>
        </is>
      </c>
      <c r="K1247" s="62" t="n">
        <v>46071</v>
      </c>
      <c r="L1247" s="67" t="inlineStr">
        <is>
          <t xml:space="preserve">Alexia </t>
        </is>
      </c>
      <c r="M1247" s="40" t="inlineStr">
        <is>
          <t>Cumprido</t>
        </is>
      </c>
      <c r="N1247" s="62" t="n">
        <v>46071</v>
      </c>
      <c r="O1247" s="67" t="inlineStr">
        <is>
          <t>Recurso de Apelação</t>
        </is>
      </c>
    </row>
    <row r="1248">
      <c r="A1248" s="40" t="inlineStr">
        <is>
          <t>5012257-75.2019.4.04.7204</t>
        </is>
      </c>
      <c r="B1248" s="40" t="inlineStr">
        <is>
          <t>Outras</t>
        </is>
      </c>
      <c r="D1248" s="67" t="inlineStr">
        <is>
          <t>Renata Francisco Becker</t>
        </is>
      </c>
      <c r="E1248" s="62" t="n">
        <v>44727</v>
      </c>
      <c r="F1248" s="67" t="inlineStr">
        <is>
          <t>Juízo Substituto da 4ª VF de Criciúma</t>
        </is>
      </c>
      <c r="I1248" s="67" t="inlineStr">
        <is>
          <t>5012518-57.2025.8.24.0020</t>
        </is>
      </c>
      <c r="J1248" s="67" t="inlineStr">
        <is>
          <t>Prazo</t>
        </is>
      </c>
      <c r="K1248" s="62" t="n">
        <v>46071</v>
      </c>
      <c r="L1248" s="67" t="inlineStr">
        <is>
          <t xml:space="preserve">Alexia </t>
        </is>
      </c>
      <c r="M1248" s="40" t="inlineStr">
        <is>
          <t>Cumprido</t>
        </is>
      </c>
      <c r="N1248" s="62" t="n">
        <v>46071</v>
      </c>
      <c r="O1248" s="67" t="inlineStr">
        <is>
          <t>Tratativa de acordo</t>
        </is>
      </c>
    </row>
    <row r="1249">
      <c r="A1249" s="40" t="inlineStr">
        <is>
          <t>5005984-17.2018.4.04.7204</t>
        </is>
      </c>
      <c r="B1249" s="40" t="inlineStr">
        <is>
          <t>Outras</t>
        </is>
      </c>
      <c r="D1249" s="67" t="inlineStr">
        <is>
          <t>Renata Francisco Becker</t>
        </is>
      </c>
      <c r="E1249" s="62" t="n">
        <v>44721</v>
      </c>
      <c r="F1249" s="67" t="inlineStr">
        <is>
          <t>Juízo Federal da 4ª VF de Criciúma</t>
        </is>
      </c>
      <c r="I1249" s="67" t="inlineStr">
        <is>
          <t>0001380-58.2025.5.12.0055</t>
        </is>
      </c>
      <c r="J1249" s="67" t="inlineStr">
        <is>
          <t>Tarefa</t>
        </is>
      </c>
      <c r="K1249" s="62" t="n">
        <v>46071</v>
      </c>
      <c r="L1249" s="67" t="inlineStr">
        <is>
          <t>Luci</t>
        </is>
      </c>
      <c r="M1249" s="40" t="inlineStr">
        <is>
          <t>Cumprido</t>
        </is>
      </c>
      <c r="N1249" s="62" t="n">
        <v>46071</v>
      </c>
      <c r="O1249" s="67" t="inlineStr">
        <is>
          <t xml:space="preserve">Protocolo </t>
        </is>
      </c>
    </row>
    <row r="1250">
      <c r="A1250" s="40" t="inlineStr">
        <is>
          <t>5020511-88.2024.8.24.0020</t>
        </is>
      </c>
      <c r="B1250" s="40" t="inlineStr">
        <is>
          <t>Outras</t>
        </is>
      </c>
      <c r="D1250" s="67" t="inlineStr">
        <is>
          <t>Renata Francisco Becker</t>
        </is>
      </c>
      <c r="E1250" s="62" t="n">
        <v>45537</v>
      </c>
      <c r="F1250" s="67" t="inlineStr"/>
      <c r="I1250" s="67" t="inlineStr">
        <is>
          <t>5000192-49.2024.8.24.0166</t>
        </is>
      </c>
      <c r="J1250" s="67" t="inlineStr">
        <is>
          <t>Tarefa</t>
        </is>
      </c>
      <c r="K1250" s="62" t="n">
        <v>46071</v>
      </c>
      <c r="L1250" s="67" t="inlineStr">
        <is>
          <t>Jessica</t>
        </is>
      </c>
      <c r="M1250" s="40" t="inlineStr">
        <is>
          <t>Cumprido</t>
        </is>
      </c>
      <c r="N1250" s="62" t="n">
        <v>46071</v>
      </c>
      <c r="O1250" s="67" t="inlineStr">
        <is>
          <t xml:space="preserve">Protocolo </t>
        </is>
      </c>
    </row>
    <row r="1251">
      <c r="A1251" s="40" t="inlineStr">
        <is>
          <t>00003416020245120055</t>
        </is>
      </c>
      <c r="B1251" s="40" t="inlineStr">
        <is>
          <t>Outras</t>
        </is>
      </c>
      <c r="D1251" s="67" t="inlineStr">
        <is>
          <t>Pedro Victor</t>
        </is>
      </c>
      <c r="E1251" s="62" t="n">
        <v>45412</v>
      </c>
      <c r="F1251" s="67" t="inlineStr">
        <is>
          <t>3ª VARA DO TRABALHO DE CRICIÚMA</t>
        </is>
      </c>
      <c r="I1251" s="67" t="inlineStr">
        <is>
          <t>5000540-03.2026.4.04.0000</t>
        </is>
      </c>
      <c r="J1251" s="67" t="inlineStr">
        <is>
          <t>Tarefa</t>
        </is>
      </c>
      <c r="K1251" s="62" t="n">
        <v>46071</v>
      </c>
      <c r="L1251" s="67" t="inlineStr">
        <is>
          <t>Jessica</t>
        </is>
      </c>
      <c r="M1251" s="40" t="inlineStr">
        <is>
          <t>Cumprido</t>
        </is>
      </c>
      <c r="N1251" s="62" t="n">
        <v>46071</v>
      </c>
      <c r="O1251" s="67" t="inlineStr">
        <is>
          <t xml:space="preserve">Protocolo </t>
        </is>
      </c>
    </row>
    <row r="1252">
      <c r="A1252" s="40" t="inlineStr">
        <is>
          <t>0001047-39.2023.5.12.0003</t>
        </is>
      </c>
      <c r="B1252" s="40" t="inlineStr">
        <is>
          <t>Outras</t>
        </is>
      </c>
      <c r="D1252" s="67" t="inlineStr">
        <is>
          <t>Pedro Victor</t>
        </is>
      </c>
      <c r="E1252" s="62" t="n">
        <v>45247</v>
      </c>
      <c r="F1252" s="67" t="inlineStr">
        <is>
          <t>1ª VARA DO TRABALHO DE CRICIÚMA</t>
        </is>
      </c>
      <c r="I1252" s="67" t="inlineStr">
        <is>
          <t>5007152-10.2025.4.04.7204</t>
        </is>
      </c>
      <c r="J1252" s="67" t="inlineStr">
        <is>
          <t>Tarefa</t>
        </is>
      </c>
      <c r="K1252" s="62" t="n">
        <v>46071</v>
      </c>
      <c r="L1252" s="67" t="inlineStr">
        <is>
          <t>Renata Francisco Becker</t>
        </is>
      </c>
      <c r="M1252" s="40" t="inlineStr">
        <is>
          <t>Cumprido</t>
        </is>
      </c>
      <c r="N1252" s="62" t="n">
        <v>46071</v>
      </c>
      <c r="O1252" s="67" t="inlineStr">
        <is>
          <t>Revisão</t>
        </is>
      </c>
    </row>
    <row r="1253">
      <c r="A1253" s="40" t="n"/>
      <c r="B1253" s="40" t="inlineStr">
        <is>
          <t>Outras</t>
        </is>
      </c>
      <c r="D1253" s="67" t="inlineStr">
        <is>
          <t>Renata Francisco Becker</t>
        </is>
      </c>
      <c r="E1253" s="62" t="n">
        <v>45639</v>
      </c>
      <c r="I1253" s="67" t="inlineStr"/>
      <c r="J1253" s="67" t="inlineStr">
        <is>
          <t>Tarefa</t>
        </is>
      </c>
      <c r="K1253" s="62" t="n">
        <v>46071</v>
      </c>
      <c r="L1253" s="67" t="inlineStr">
        <is>
          <t>Julia</t>
        </is>
      </c>
      <c r="M1253" s="40" t="inlineStr">
        <is>
          <t>Cumprido</t>
        </is>
      </c>
      <c r="N1253" s="62" t="n">
        <v>46071</v>
      </c>
      <c r="O1253" s="67" t="inlineStr">
        <is>
          <t>13/02/2026 - Verificar atividades monitoradas</t>
        </is>
      </c>
    </row>
    <row r="1254">
      <c r="A1254" s="40" t="n"/>
      <c r="B1254" s="40" t="inlineStr">
        <is>
          <t>Outras</t>
        </is>
      </c>
      <c r="D1254" s="67" t="inlineStr">
        <is>
          <t>Luci</t>
        </is>
      </c>
      <c r="E1254" s="62" t="n">
        <v>45573</v>
      </c>
      <c r="I1254" s="67" t="inlineStr"/>
      <c r="J1254" s="67" t="inlineStr">
        <is>
          <t>Tarefa</t>
        </is>
      </c>
      <c r="K1254" s="62" t="n">
        <v>46071</v>
      </c>
      <c r="L1254" s="67" t="inlineStr">
        <is>
          <t>Renata Francisco Becker</t>
        </is>
      </c>
      <c r="M1254" s="40" t="inlineStr">
        <is>
          <t>Cumprido</t>
        </is>
      </c>
      <c r="N1254" s="62" t="n">
        <v>46071</v>
      </c>
      <c r="O1254" s="67" t="inlineStr">
        <is>
          <t>18/02/2026 - 1* ano de escritorio Mica</t>
        </is>
      </c>
    </row>
    <row r="1255">
      <c r="A1255" s="40" t="inlineStr">
        <is>
          <t>50510240220248240000</t>
        </is>
      </c>
      <c r="B1255" s="40" t="inlineStr">
        <is>
          <t>Outras</t>
        </is>
      </c>
      <c r="D1255" s="67" t="inlineStr">
        <is>
          <t>Renata Francisco Becker</t>
        </is>
      </c>
      <c r="E1255" s="62" t="n">
        <v>45525</v>
      </c>
      <c r="F1255" s="67" t="inlineStr"/>
      <c r="I1255" s="67" t="inlineStr"/>
      <c r="J1255" s="67" t="inlineStr">
        <is>
          <t>Tarefa</t>
        </is>
      </c>
      <c r="K1255" s="62" t="n">
        <v>46071</v>
      </c>
      <c r="L1255" s="67" t="inlineStr">
        <is>
          <t>Marelize Controladoria</t>
        </is>
      </c>
      <c r="M1255" s="40" t="inlineStr">
        <is>
          <t>Cumprido</t>
        </is>
      </c>
      <c r="N1255" s="62" t="n">
        <v>46071</v>
      </c>
      <c r="O1255" s="67" t="inlineStr">
        <is>
          <t>18/02/2026 - Conferir prazos no TJs - TJSC - TJRS - TRT12 - TRF4 - JFSC - TJRJ - TJPR - TJPA - TJSP - TJGO;</t>
        </is>
      </c>
    </row>
    <row r="1256">
      <c r="A1256" s="40" t="n"/>
      <c r="B1256" s="40" t="inlineStr">
        <is>
          <t>Outras</t>
        </is>
      </c>
      <c r="D1256" s="67" t="inlineStr">
        <is>
          <t>Renata Francisco Becker</t>
        </is>
      </c>
      <c r="E1256" s="62" t="n">
        <v>45589</v>
      </c>
      <c r="I1256" s="67" t="inlineStr"/>
      <c r="J1256" s="67" t="inlineStr">
        <is>
          <t>Tarefa</t>
        </is>
      </c>
      <c r="K1256" s="62" t="n">
        <v>46071</v>
      </c>
      <c r="L1256" s="67" t="inlineStr">
        <is>
          <t>Marelize Controladoria</t>
        </is>
      </c>
      <c r="M1256" s="40" t="inlineStr">
        <is>
          <t>Cumprido</t>
        </is>
      </c>
      <c r="N1256" s="62" t="n">
        <v>46071</v>
      </c>
      <c r="O1256" s="67" t="inlineStr">
        <is>
          <t>18/02/2026 - Fazer Agendas.</t>
        </is>
      </c>
    </row>
    <row r="1257">
      <c r="A1257" s="40" t="n"/>
      <c r="B1257" s="40" t="inlineStr">
        <is>
          <t>Outras</t>
        </is>
      </c>
      <c r="D1257" s="67" t="inlineStr">
        <is>
          <t>Luci</t>
        </is>
      </c>
      <c r="E1257" s="62" t="n">
        <v>45581</v>
      </c>
      <c r="I1257" s="67" t="inlineStr"/>
      <c r="J1257" s="67" t="inlineStr">
        <is>
          <t>Tarefa</t>
        </is>
      </c>
      <c r="K1257" s="62" t="n">
        <v>46071</v>
      </c>
      <c r="L1257" s="67" t="inlineStr">
        <is>
          <t>Marelize Controladoria</t>
        </is>
      </c>
      <c r="M1257" s="40" t="inlineStr">
        <is>
          <t>Cumprido</t>
        </is>
      </c>
      <c r="N1257" s="62" t="n">
        <v>46071</v>
      </c>
      <c r="O1257" s="67" t="inlineStr">
        <is>
          <t>18/02/2026 - Fazer Publicações.</t>
        </is>
      </c>
    </row>
    <row r="1258">
      <c r="A1258" s="40" t="n"/>
      <c r="B1258" s="40" t="inlineStr">
        <is>
          <t>Outras</t>
        </is>
      </c>
      <c r="D1258" s="67" t="inlineStr">
        <is>
          <t>Luci</t>
        </is>
      </c>
      <c r="E1258" s="62" t="n">
        <v>45581</v>
      </c>
      <c r="I1258" s="67" t="inlineStr"/>
      <c r="J1258" s="67" t="inlineStr">
        <is>
          <t>Tarefa</t>
        </is>
      </c>
      <c r="K1258" s="62" t="n">
        <v>46071</v>
      </c>
      <c r="L1258" s="67" t="inlineStr">
        <is>
          <t>Marelize Controladoria</t>
        </is>
      </c>
      <c r="M1258" s="40" t="inlineStr">
        <is>
          <t>Cumprido</t>
        </is>
      </c>
      <c r="N1258" s="62" t="n">
        <v>46071</v>
      </c>
      <c r="O1258" s="67" t="inlineStr">
        <is>
          <t>18/02/2026 - Olhar E-mails.</t>
        </is>
      </c>
    </row>
    <row r="1259">
      <c r="A1259" s="40" t="n"/>
      <c r="B1259" s="40" t="inlineStr">
        <is>
          <t>Outras</t>
        </is>
      </c>
      <c r="D1259" s="67" t="inlineStr">
        <is>
          <t>Luci</t>
        </is>
      </c>
      <c r="E1259" s="62" t="n">
        <v>45581</v>
      </c>
      <c r="I1259" s="67" t="inlineStr">
        <is>
          <t>00015545420255120027</t>
        </is>
      </c>
      <c r="J1259" s="67" t="inlineStr">
        <is>
          <t>Tarefa</t>
        </is>
      </c>
      <c r="K1259" s="62" t="n">
        <v>46071</v>
      </c>
      <c r="L1259" s="67" t="inlineStr">
        <is>
          <t>Marelize Controladoria</t>
        </is>
      </c>
      <c r="M1259" s="40" t="inlineStr">
        <is>
          <t>Cumprido</t>
        </is>
      </c>
      <c r="N1259" s="62" t="n">
        <v>46071</v>
      </c>
      <c r="O1259" s="67" t="inlineStr">
        <is>
          <t xml:space="preserve">Avisar cliente da perícia. </t>
        </is>
      </c>
    </row>
    <row r="1260">
      <c r="A1260" s="40" t="n"/>
      <c r="B1260" s="40" t="inlineStr">
        <is>
          <t>Outras</t>
        </is>
      </c>
      <c r="D1260" s="67" t="inlineStr">
        <is>
          <t>Luci</t>
        </is>
      </c>
      <c r="E1260" s="62" t="n">
        <v>45581</v>
      </c>
      <c r="I1260" s="67" t="inlineStr"/>
      <c r="J1260" s="67" t="inlineStr">
        <is>
          <t>Tarefa</t>
        </is>
      </c>
      <c r="K1260" s="62" t="n">
        <v>46071</v>
      </c>
      <c r="L1260" s="67" t="inlineStr">
        <is>
          <t>Julia</t>
        </is>
      </c>
      <c r="M1260" s="40" t="inlineStr">
        <is>
          <t>Cumprido</t>
        </is>
      </c>
      <c r="N1260" s="62" t="n">
        <v>46071</v>
      </c>
      <c r="O1260" s="67" t="inlineStr">
        <is>
          <t xml:space="preserve">ação renovatória fazer - caso vonsher contrato de locação aditivo pavilao 4linha: ja passei a seguinte informação a eles: Referente ao aditivo contratual de locação, não contempla situações relativas ao histórico do imóvel e da locação. O que consta: valor mensal do aluguel passa a ser de R$ 18.000,00 (dezoito mil reais), a contar de 07/10/2025, além de todos os encargos previstos no contrato original, tais como água, luz, IPTU, seguro, condomínio e demais taxas. Será concedido ao(à) LOCATÁRIO
</t>
        </is>
      </c>
    </row>
    <row r="1261">
      <c r="A1261" s="40" t="inlineStr">
        <is>
          <t>50186255420228240075</t>
        </is>
      </c>
      <c r="B1261" s="40" t="inlineStr">
        <is>
          <t>Outras</t>
        </is>
      </c>
      <c r="D1261" s="67" t="inlineStr">
        <is>
          <t>Renata Francisco Becker</t>
        </is>
      </c>
      <c r="E1261" s="62" t="n">
        <v>45477</v>
      </c>
      <c r="F1261" s="67" t="inlineStr"/>
      <c r="I1261" s="67" t="inlineStr"/>
      <c r="J1261" s="67" t="inlineStr">
        <is>
          <t>Tarefa</t>
        </is>
      </c>
      <c r="K1261" s="62" t="n">
        <v>46071</v>
      </c>
      <c r="L1261" s="67" t="inlineStr">
        <is>
          <t>Jessica</t>
        </is>
      </c>
      <c r="M1261" s="40" t="inlineStr">
        <is>
          <t>Cumprido</t>
        </is>
      </c>
      <c r="N1261" s="62" t="n">
        <v>46071</v>
      </c>
      <c r="O1261" s="67" t="inlineStr">
        <is>
          <t xml:space="preserve">c)	Análise e Recuperação de Créditos Tributários
Exclusão do ICMS da Base de PIS/COFINS:
Ação: Realizar levantamento de créditos não aproveitados de 2021, 2022, 2023 e 2024. Fornecer os arquivos XML de venda do período.
Objetivo: Recuperar valores e contestar Certidões de Dívida Ativa (CDA) para suspender execuções fiscais.
Responsável: Jéssica.
</t>
        </is>
      </c>
    </row>
    <row r="1262">
      <c r="A1262" s="40" t="n"/>
      <c r="B1262" s="40" t="inlineStr">
        <is>
          <t>Outras</t>
        </is>
      </c>
      <c r="D1262" s="67" t="inlineStr">
        <is>
          <t>Luci</t>
        </is>
      </c>
      <c r="E1262" s="62" t="n">
        <v>45581</v>
      </c>
      <c r="I1262" s="67" t="inlineStr"/>
      <c r="J1262" s="67" t="inlineStr">
        <is>
          <t>Tarefa</t>
        </is>
      </c>
      <c r="K1262" s="62" t="n">
        <v>46071</v>
      </c>
      <c r="L1262" s="67" t="inlineStr">
        <is>
          <t>Marelize Controladoria</t>
        </is>
      </c>
      <c r="M1262" s="40" t="inlineStr">
        <is>
          <t>Cumprido</t>
        </is>
      </c>
      <c r="N1262" s="62" t="n">
        <v>46071</v>
      </c>
      <c r="O1262" s="67" t="inlineStr">
        <is>
          <t>Cadastrar processo 5133128-39.2026.8.09.0084 e distribuir para analisar o caso e retornar o cliente.</t>
        </is>
      </c>
    </row>
    <row r="1263">
      <c r="A1263" s="40" t="n"/>
      <c r="B1263" s="40" t="inlineStr">
        <is>
          <t>Outras</t>
        </is>
      </c>
      <c r="D1263" s="67" t="inlineStr">
        <is>
          <t>Luci</t>
        </is>
      </c>
      <c r="E1263" s="62" t="n">
        <v>45581</v>
      </c>
      <c r="I1263" s="67" t="inlineStr">
        <is>
          <t>50061370320258240030</t>
        </is>
      </c>
      <c r="J1263" s="67" t="inlineStr">
        <is>
          <t>Tarefa</t>
        </is>
      </c>
      <c r="K1263" s="62" t="n">
        <v>46071</v>
      </c>
      <c r="L1263" s="67" t="inlineStr">
        <is>
          <t>Julia</t>
        </is>
      </c>
      <c r="M1263" s="40" t="inlineStr">
        <is>
          <t>Cumprido</t>
        </is>
      </c>
      <c r="N1263" s="62" t="n">
        <v>46071</v>
      </c>
      <c r="O1263" s="67" t="inlineStr">
        <is>
          <t>ligar para forum, pedir que processo va para gabinete, ligar para gabinete e pedir urgencia tutela de urgencia concessão do leite, explicar.</t>
        </is>
      </c>
    </row>
    <row r="1264">
      <c r="A1264" s="40" t="n"/>
      <c r="B1264" s="40" t="inlineStr">
        <is>
          <t>Outras</t>
        </is>
      </c>
      <c r="D1264" s="67" t="inlineStr">
        <is>
          <t>Luci</t>
        </is>
      </c>
      <c r="E1264" s="62" t="n">
        <v>45573</v>
      </c>
      <c r="I1264" s="67" t="inlineStr"/>
      <c r="J1264" s="67" t="inlineStr">
        <is>
          <t>Tarefa</t>
        </is>
      </c>
      <c r="K1264" s="62" t="n">
        <v>46071</v>
      </c>
      <c r="L1264" s="67" t="inlineStr">
        <is>
          <t>Jessica</t>
        </is>
      </c>
      <c r="M1264" s="40" t="inlineStr">
        <is>
          <t>Cumprido</t>
        </is>
      </c>
      <c r="N1264" s="62" t="n">
        <v>46071</v>
      </c>
      <c r="O1264" s="67" t="inlineStr">
        <is>
          <t xml:space="preserve">Ligar para o cartório e pedir urgência no protocolo, avisar no grupo. </t>
        </is>
      </c>
    </row>
    <row r="1265">
      <c r="A1265" s="40" t="inlineStr">
        <is>
          <t>5027258-88.2023.8.24.0020</t>
        </is>
      </c>
      <c r="B1265" s="40" t="inlineStr">
        <is>
          <t>Outras</t>
        </is>
      </c>
      <c r="D1265" s="67" t="inlineStr">
        <is>
          <t>Renata Francisco Becker</t>
        </is>
      </c>
      <c r="E1265" s="62" t="n">
        <v>45229</v>
      </c>
      <c r="F1265" s="67" t="inlineStr">
        <is>
          <t>Juízo da 2ª Vara Cível da Comarca de Criciúma</t>
        </is>
      </c>
      <c r="I1265" s="67" t="inlineStr">
        <is>
          <t>5010232-09.2025.8.24.0020</t>
        </is>
      </c>
      <c r="J1265" s="67" t="inlineStr">
        <is>
          <t>Tarefa</t>
        </is>
      </c>
      <c r="K1265" s="62" t="n">
        <v>46071</v>
      </c>
      <c r="L1265" s="67" t="inlineStr">
        <is>
          <t xml:space="preserve">Alexia </t>
        </is>
      </c>
      <c r="M1265" s="40" t="inlineStr">
        <is>
          <t>Cumprido</t>
        </is>
      </c>
      <c r="N1265" s="62" t="n">
        <v>46071</v>
      </c>
      <c r="O1265" s="67" t="inlineStr">
        <is>
          <t>Preparar cliente para audiencia.</t>
        </is>
      </c>
    </row>
    <row r="1266">
      <c r="A1266" s="40" t="n"/>
      <c r="B1266" s="40" t="inlineStr">
        <is>
          <t>Outras</t>
        </is>
      </c>
      <c r="D1266" s="67" t="inlineStr">
        <is>
          <t>Luci</t>
        </is>
      </c>
      <c r="E1266" s="62" t="n">
        <v>45639</v>
      </c>
      <c r="I1266" s="67" t="inlineStr">
        <is>
          <t>5024640-10.2022.8.24.0020</t>
        </is>
      </c>
      <c r="J1266" s="67" t="inlineStr">
        <is>
          <t>Tarefa</t>
        </is>
      </c>
      <c r="K1266" s="62" t="n">
        <v>46071</v>
      </c>
      <c r="L1266" s="67" t="inlineStr">
        <is>
          <t>Jessica</t>
        </is>
      </c>
      <c r="M1266" s="40" t="inlineStr">
        <is>
          <t>Cumprido</t>
        </is>
      </c>
      <c r="N1266" s="62" t="n">
        <v>46071</v>
      </c>
      <c r="O1266" s="67" t="inlineStr">
        <is>
          <t>Protocolo</t>
        </is>
      </c>
    </row>
    <row r="1267">
      <c r="A1267" s="40" t="n"/>
      <c r="B1267" s="40" t="inlineStr">
        <is>
          <t>Outras</t>
        </is>
      </c>
      <c r="D1267" s="67" t="inlineStr">
        <is>
          <t>Luci</t>
        </is>
      </c>
      <c r="E1267" s="62" t="n">
        <v>45639</v>
      </c>
      <c r="I1267" s="67" t="inlineStr">
        <is>
          <t>5014179-44.2025.4.04.7204</t>
        </is>
      </c>
      <c r="J1267" s="67" t="inlineStr">
        <is>
          <t>Tarefa</t>
        </is>
      </c>
      <c r="K1267" s="62" t="n">
        <v>46071</v>
      </c>
      <c r="L1267" s="67" t="inlineStr">
        <is>
          <t xml:space="preserve">Lucas </t>
        </is>
      </c>
      <c r="M1267" s="40" t="inlineStr">
        <is>
          <t>Cumprido</t>
        </is>
      </c>
      <c r="N1267" s="62" t="n">
        <v>46071</v>
      </c>
      <c r="O1267" s="67" t="inlineStr">
        <is>
          <t>Protocolo</t>
        </is>
      </c>
    </row>
    <row r="1268">
      <c r="A1268" s="40" t="inlineStr">
        <is>
          <t>00002029520245120027</t>
        </is>
      </c>
      <c r="B1268" s="40" t="inlineStr">
        <is>
          <t>Outras</t>
        </is>
      </c>
      <c r="D1268" s="67" t="inlineStr">
        <is>
          <t>Pedro Victor</t>
        </is>
      </c>
      <c r="E1268" s="62" t="n">
        <v>45405</v>
      </c>
      <c r="F1268" s="67" t="inlineStr">
        <is>
          <t>CEJUSC-JT/Criciuma</t>
        </is>
      </c>
      <c r="I1268" s="67" t="inlineStr"/>
      <c r="J1268" s="67" t="inlineStr">
        <is>
          <t>Tarefa</t>
        </is>
      </c>
      <c r="K1268" s="62" t="n">
        <v>46071</v>
      </c>
      <c r="L1268" s="67" t="inlineStr">
        <is>
          <t>Luci</t>
        </is>
      </c>
      <c r="M1268" s="40" t="inlineStr">
        <is>
          <t>Cumprido</t>
        </is>
      </c>
      <c r="N1268" s="62" t="n">
        <v>46071</v>
      </c>
      <c r="O1268" s="67" t="inlineStr">
        <is>
          <t xml:space="preserve">Reclamatoria trabalhista  o Diego - - colher os documents e infrmações que ele encaminhar </t>
        </is>
      </c>
    </row>
    <row r="1269">
      <c r="A1269" s="40" t="inlineStr">
        <is>
          <t>5005981-62.2018.4.04.7204</t>
        </is>
      </c>
      <c r="B1269" s="40" t="inlineStr">
        <is>
          <t>Outras</t>
        </is>
      </c>
      <c r="D1269" s="67" t="inlineStr">
        <is>
          <t>Renata Francisco Becker</t>
        </is>
      </c>
      <c r="E1269" s="62" t="n">
        <v>44741</v>
      </c>
      <c r="F1269" s="67" t="inlineStr">
        <is>
          <t>Juízo Substituto da 4ª VF de Criciúma</t>
        </is>
      </c>
      <c r="I1269" s="67" t="inlineStr"/>
      <c r="J1269" s="67" t="inlineStr">
        <is>
          <t>Tarefa</t>
        </is>
      </c>
      <c r="K1269" s="62" t="n">
        <v>46071</v>
      </c>
      <c r="L1269" s="67" t="inlineStr">
        <is>
          <t>Luci</t>
        </is>
      </c>
      <c r="M1269" s="40" t="inlineStr">
        <is>
          <t>Cumprido</t>
        </is>
      </c>
      <c r="N1269" s="62" t="n">
        <v>46071</v>
      </c>
      <c r="O1269" s="67" t="inlineStr">
        <is>
          <t>Retorno cliente</t>
        </is>
      </c>
    </row>
    <row r="1270">
      <c r="A1270" s="40" t="inlineStr">
        <is>
          <t>5006212-89.2018.4.04.7204</t>
        </is>
      </c>
      <c r="B1270" s="40" t="inlineStr">
        <is>
          <t>Outras</t>
        </is>
      </c>
      <c r="D1270" s="67" t="inlineStr">
        <is>
          <t>Renata Francisco Becker</t>
        </is>
      </c>
      <c r="E1270" s="62" t="n">
        <v>44741</v>
      </c>
      <c r="F1270" s="67" t="inlineStr">
        <is>
          <t>Juízo Substituto da 4ª VF de Criciúma</t>
        </is>
      </c>
      <c r="I1270" s="67" t="inlineStr">
        <is>
          <t>5023102-23.2024.8.24.0020</t>
        </is>
      </c>
      <c r="J1270" s="67" t="inlineStr">
        <is>
          <t>Tarefa</t>
        </is>
      </c>
      <c r="K1270" s="62" t="n">
        <v>46071</v>
      </c>
      <c r="L1270" s="67" t="inlineStr">
        <is>
          <t>Renata Francisco Becker</t>
        </is>
      </c>
      <c r="M1270" s="40" t="inlineStr">
        <is>
          <t>Cumprido</t>
        </is>
      </c>
      <c r="N1270" s="62" t="n">
        <v>46071</v>
      </c>
      <c r="O1270" s="67" t="inlineStr">
        <is>
          <t>Revisão - Intimação das testemunhas</t>
        </is>
      </c>
    </row>
    <row r="1271">
      <c r="A1271" s="40" t="inlineStr">
        <is>
          <t>0302479-91.2017.8.24.0020</t>
        </is>
      </c>
      <c r="B1271" s="40" t="inlineStr">
        <is>
          <t>Outras</t>
        </is>
      </c>
      <c r="D1271" s="67" t="inlineStr">
        <is>
          <t>Renata Francisco Becker</t>
        </is>
      </c>
      <c r="E1271" s="62" t="n">
        <v>44701</v>
      </c>
      <c r="F1271" s="67" t="inlineStr">
        <is>
          <t>2ª Vara Da Fazenda Criciuma</t>
        </is>
      </c>
      <c r="I1271" s="67" t="inlineStr"/>
      <c r="J1271" s="67" t="inlineStr">
        <is>
          <t>Evento</t>
        </is>
      </c>
      <c r="K1271" s="62" t="n">
        <v>46071</v>
      </c>
      <c r="L1271" s="67" t="inlineStr">
        <is>
          <t>Renata Francisco Becker</t>
        </is>
      </c>
      <c r="M1271" s="40" t="inlineStr">
        <is>
          <t>Cumprido</t>
        </is>
      </c>
      <c r="N1271" s="62" t="n">
        <v>46071</v>
      </c>
      <c r="O1271" s="67" t="inlineStr">
        <is>
          <t>16/02/2026 - Reunião de Equipe</t>
        </is>
      </c>
    </row>
    <row r="1272">
      <c r="A1272" s="40" t="inlineStr">
        <is>
          <t>5012254-23.2019.4.04.7204</t>
        </is>
      </c>
      <c r="B1272" s="40" t="inlineStr">
        <is>
          <t>Outras</t>
        </is>
      </c>
      <c r="D1272" s="67" t="inlineStr">
        <is>
          <t>Renata Francisco Becker</t>
        </is>
      </c>
      <c r="E1272" s="62" t="n">
        <v>44719</v>
      </c>
      <c r="F1272" s="67" t="inlineStr">
        <is>
          <t>Juízo Federal da 4ª VF de Criciúma</t>
        </is>
      </c>
      <c r="I1272" s="67" t="inlineStr">
        <is>
          <t>0001324-12.2025.5.12.0027</t>
        </is>
      </c>
      <c r="J1272" s="67" t="inlineStr">
        <is>
          <t>Evento</t>
        </is>
      </c>
      <c r="K1272" s="62" t="n">
        <v>46071</v>
      </c>
      <c r="L1272" s="67" t="inlineStr">
        <is>
          <t>Pedro Victor</t>
        </is>
      </c>
      <c r="M1272" s="40" t="inlineStr">
        <is>
          <t>Cumprido</t>
        </is>
      </c>
      <c r="N1272" s="62" t="n">
        <v>46071</v>
      </c>
      <c r="O1272" s="67" t="inlineStr">
        <is>
          <t>Pericia trabalhista Zampie x Anderson</t>
        </is>
      </c>
    </row>
    <row r="1273">
      <c r="A1273" s="40" t="inlineStr">
        <is>
          <t>5006831-19.2018.4.04.7204</t>
        </is>
      </c>
      <c r="B1273" s="40" t="inlineStr">
        <is>
          <t>Outras</t>
        </is>
      </c>
      <c r="D1273" s="67" t="inlineStr">
        <is>
          <t>Renata Francisco Becker</t>
        </is>
      </c>
      <c r="E1273" s="62" t="n">
        <v>44741</v>
      </c>
      <c r="F1273" s="67" t="inlineStr">
        <is>
          <t>Juízo Substituto da 4ª VF de Criciúma</t>
        </is>
      </c>
      <c r="I1273" s="67" t="inlineStr"/>
      <c r="J1273" s="67" t="inlineStr">
        <is>
          <t>Prazo</t>
        </is>
      </c>
      <c r="K1273" s="62" t="n">
        <v>46072</v>
      </c>
      <c r="L1273" s="67" t="inlineStr">
        <is>
          <t>Jessica</t>
        </is>
      </c>
      <c r="M1273" s="40" t="inlineStr">
        <is>
          <t>Cumprido</t>
        </is>
      </c>
      <c r="N1273" s="62" t="n">
        <v>46072</v>
      </c>
      <c r="O1273" s="67" t="inlineStr">
        <is>
          <t>Análise de Distrado com a empresa ADGel</t>
        </is>
      </c>
    </row>
    <row r="1274">
      <c r="A1274" s="40" t="inlineStr">
        <is>
          <t>5012281-06.2019.4.04.7204</t>
        </is>
      </c>
      <c r="B1274" s="40" t="inlineStr">
        <is>
          <t>Outras</t>
        </is>
      </c>
      <c r="D1274" s="67" t="inlineStr">
        <is>
          <t>Renata Francisco Becker</t>
        </is>
      </c>
      <c r="E1274" s="62" t="n">
        <v>44707</v>
      </c>
      <c r="F1274" s="67" t="inlineStr">
        <is>
          <t>Juízo Federal da 4ª VF de Criciúma</t>
        </is>
      </c>
      <c r="I1274" s="67" t="inlineStr"/>
      <c r="J1274" s="67" t="inlineStr">
        <is>
          <t>Prazo</t>
        </is>
      </c>
      <c r="K1274" s="62" t="n">
        <v>46072</v>
      </c>
      <c r="L1274" s="67" t="inlineStr">
        <is>
          <t xml:space="preserve">Lucas </t>
        </is>
      </c>
      <c r="M1274" s="40" t="inlineStr">
        <is>
          <t>Cumprido</t>
        </is>
      </c>
      <c r="N1274" s="62" t="n">
        <v>46072</v>
      </c>
      <c r="O1274" s="67" t="inlineStr">
        <is>
          <t xml:space="preserve">Elaborar parecer (Reficel) </t>
        </is>
      </c>
    </row>
    <row r="1275">
      <c r="A1275" s="40" t="inlineStr">
        <is>
          <t>5005931-36.2018.4.04.7204</t>
        </is>
      </c>
      <c r="B1275" s="40" t="inlineStr">
        <is>
          <t>Outras</t>
        </is>
      </c>
      <c r="D1275" s="67" t="inlineStr">
        <is>
          <t>Renata Francisco Becker</t>
        </is>
      </c>
      <c r="E1275" s="62" t="n">
        <v>44719</v>
      </c>
      <c r="F1275" s="67" t="inlineStr">
        <is>
          <t>Juízo Federal da 4ª VF de Criciúma</t>
        </is>
      </c>
      <c r="I1275" s="67" t="inlineStr">
        <is>
          <t>5040768-85.2025.4.04.7200</t>
        </is>
      </c>
      <c r="J1275" s="67" t="inlineStr">
        <is>
          <t>Prazo</t>
        </is>
      </c>
      <c r="K1275" s="62" t="n">
        <v>46072</v>
      </c>
      <c r="L1275" s="67" t="inlineStr">
        <is>
          <t>Jessica</t>
        </is>
      </c>
      <c r="M1275" s="40" t="inlineStr">
        <is>
          <t>Cumprido</t>
        </is>
      </c>
      <c r="N1275" s="62" t="n">
        <v>46072</v>
      </c>
      <c r="O1275" s="67" t="inlineStr">
        <is>
          <t>Exceção de Pré-executividade</t>
        </is>
      </c>
    </row>
    <row r="1276">
      <c r="A1276" s="40" t="inlineStr">
        <is>
          <t>5006006-75.2018.4.04.7204</t>
        </is>
      </c>
      <c r="B1276" s="40" t="inlineStr">
        <is>
          <t>Outras</t>
        </is>
      </c>
      <c r="D1276" s="67" t="inlineStr">
        <is>
          <t>Renata Francisco Becker</t>
        </is>
      </c>
      <c r="E1276" s="62" t="n">
        <v>44741</v>
      </c>
      <c r="F1276" s="67" t="inlineStr">
        <is>
          <t>Juízo Substituto da 4ª VF de Criciúma</t>
        </is>
      </c>
      <c r="I1276" s="67" t="inlineStr"/>
      <c r="J1276" s="67" t="inlineStr">
        <is>
          <t>Prazo</t>
        </is>
      </c>
      <c r="K1276" s="62" t="n">
        <v>46072</v>
      </c>
      <c r="L1276" s="67" t="inlineStr">
        <is>
          <t>Luci</t>
        </is>
      </c>
      <c r="M1276" s="40" t="inlineStr">
        <is>
          <t>Cumprido</t>
        </is>
      </c>
      <c r="N1276" s="62" t="n">
        <v>46072</v>
      </c>
      <c r="O1276" s="67" t="inlineStr">
        <is>
          <t>Orientação jurídica sobre a organização da atuação de prestadores PJ</t>
        </is>
      </c>
    </row>
    <row r="1277">
      <c r="A1277" s="40" t="inlineStr">
        <is>
          <t>5011943-66.2018.4.04.7204</t>
        </is>
      </c>
      <c r="B1277" s="40" t="inlineStr">
        <is>
          <t>Outras</t>
        </is>
      </c>
      <c r="D1277" s="67" t="inlineStr">
        <is>
          <t>Renata Francisco Becker</t>
        </is>
      </c>
      <c r="E1277" s="62" t="n">
        <v>44749</v>
      </c>
      <c r="F1277" s="67" t="inlineStr">
        <is>
          <t>Juízo Substituto da 4ª VF de Criciúma</t>
        </is>
      </c>
      <c r="I1277" s="67" t="inlineStr">
        <is>
          <t>5001802-23.2022.8.24.0166</t>
        </is>
      </c>
      <c r="J1277" s="67" t="inlineStr">
        <is>
          <t>Prazo</t>
        </is>
      </c>
      <c r="K1277" s="62" t="n">
        <v>46072</v>
      </c>
      <c r="L1277" s="67" t="inlineStr">
        <is>
          <t xml:space="preserve">Alexia </t>
        </is>
      </c>
      <c r="M1277" s="40" t="inlineStr">
        <is>
          <t>Cumprido</t>
        </is>
      </c>
      <c r="N1277" s="62" t="n">
        <v>46072</v>
      </c>
      <c r="O1277" s="67" t="inlineStr">
        <is>
          <t>Prazo</t>
        </is>
      </c>
    </row>
    <row r="1278">
      <c r="A1278" s="40" t="inlineStr">
        <is>
          <t>5006367-92.2018.4.04.7204</t>
        </is>
      </c>
      <c r="B1278" s="40" t="inlineStr">
        <is>
          <t>Outras</t>
        </is>
      </c>
      <c r="D1278" s="67" t="inlineStr">
        <is>
          <t>Renata Francisco Becker</t>
        </is>
      </c>
      <c r="E1278" s="62" t="n">
        <v>44741</v>
      </c>
      <c r="F1278" s="67" t="inlineStr">
        <is>
          <t>Juízo Substituto da 4ª VF de Criciúma</t>
        </is>
      </c>
      <c r="I1278" s="67" t="inlineStr">
        <is>
          <t>09.2022.00002328-6</t>
        </is>
      </c>
      <c r="J1278" s="67" t="inlineStr">
        <is>
          <t>Tarefa</t>
        </is>
      </c>
      <c r="K1278" s="62" t="n">
        <v>46072</v>
      </c>
      <c r="L1278" s="67" t="inlineStr">
        <is>
          <t xml:space="preserve">Lucas </t>
        </is>
      </c>
      <c r="M1278" s="40" t="inlineStr">
        <is>
          <t>Cumprido</t>
        </is>
      </c>
      <c r="N1278" s="62" t="n">
        <v>46072</v>
      </c>
      <c r="O1278" s="67" t="inlineStr">
        <is>
          <t xml:space="preserve">Acompanhar PA n. 09.2022.00002328-6 / MP - caso Colombo </t>
        </is>
      </c>
    </row>
    <row r="1279">
      <c r="A1279" s="40" t="inlineStr">
        <is>
          <t>5012153-83.2019.4.04.7204</t>
        </is>
      </c>
      <c r="B1279" s="40" t="inlineStr">
        <is>
          <t>Outras</t>
        </is>
      </c>
      <c r="D1279" s="67" t="inlineStr">
        <is>
          <t>Renata Francisco Becker</t>
        </is>
      </c>
      <c r="E1279" s="62" t="n">
        <v>44719</v>
      </c>
      <c r="F1279" s="67" t="inlineStr">
        <is>
          <t>Juízo Federal da 4ª VF de Criciúma</t>
        </is>
      </c>
      <c r="I1279" s="67" t="inlineStr">
        <is>
          <t>5025714-65.2023.8.24.0020</t>
        </is>
      </c>
      <c r="J1279" s="67" t="inlineStr">
        <is>
          <t>Tarefa</t>
        </is>
      </c>
      <c r="K1279" s="62" t="n">
        <v>46072</v>
      </c>
      <c r="L1279" s="67" t="inlineStr">
        <is>
          <t>Renata Francisco Becker</t>
        </is>
      </c>
      <c r="M1279" s="40" t="inlineStr">
        <is>
          <t>Cumprido</t>
        </is>
      </c>
      <c r="N1279" s="62" t="n">
        <v>46072</v>
      </c>
      <c r="O1279" s="67" t="inlineStr">
        <is>
          <t>Revisão</t>
        </is>
      </c>
    </row>
    <row r="1280">
      <c r="A1280" s="40" t="n"/>
      <c r="B1280" s="40" t="inlineStr">
        <is>
          <t>Outras</t>
        </is>
      </c>
      <c r="D1280" s="67" t="inlineStr">
        <is>
          <t>Luci</t>
        </is>
      </c>
      <c r="E1280" s="62" t="n">
        <v>45573</v>
      </c>
      <c r="I1280" s="67" t="inlineStr">
        <is>
          <t>5224773-07.2025.8.21.0001</t>
        </is>
      </c>
      <c r="J1280" s="67" t="inlineStr">
        <is>
          <t>Tarefa</t>
        </is>
      </c>
      <c r="K1280" s="62" t="n">
        <v>46072</v>
      </c>
      <c r="L1280" s="67" t="inlineStr">
        <is>
          <t>Pedro Victor</t>
        </is>
      </c>
      <c r="M1280" s="40" t="inlineStr">
        <is>
          <t>Cumprido</t>
        </is>
      </c>
      <c r="N1280" s="62" t="n">
        <v>46072</v>
      </c>
      <c r="O1280" s="67" t="inlineStr">
        <is>
          <t>Revisão</t>
        </is>
      </c>
    </row>
    <row r="1281">
      <c r="A1281" s="40" t="n"/>
      <c r="B1281" s="40" t="inlineStr">
        <is>
          <t>Outras</t>
        </is>
      </c>
      <c r="D1281" s="67" t="inlineStr">
        <is>
          <t>Luci</t>
        </is>
      </c>
      <c r="E1281" s="62" t="n">
        <v>45573</v>
      </c>
      <c r="I1281" s="67" t="inlineStr">
        <is>
          <t>50155731620258240020</t>
        </is>
      </c>
      <c r="J1281" s="67" t="inlineStr">
        <is>
          <t>Tarefa</t>
        </is>
      </c>
      <c r="K1281" s="62" t="n">
        <v>46072</v>
      </c>
      <c r="L1281" s="67" t="inlineStr">
        <is>
          <t>Renata Francisco Becker</t>
        </is>
      </c>
      <c r="M1281" s="40" t="inlineStr">
        <is>
          <t>Cumprido</t>
        </is>
      </c>
      <c r="N1281" s="62" t="n">
        <v>46072</v>
      </c>
      <c r="O1281" s="67" t="inlineStr">
        <is>
          <t>Revisão</t>
        </is>
      </c>
    </row>
    <row r="1282">
      <c r="A1282" s="40" t="inlineStr">
        <is>
          <t>00011031320235120055</t>
        </is>
      </c>
      <c r="B1282" s="40" t="inlineStr">
        <is>
          <t>Outras</t>
        </is>
      </c>
      <c r="D1282" s="67" t="inlineStr">
        <is>
          <t>Pedro Victor</t>
        </is>
      </c>
      <c r="E1282" s="62" t="n">
        <v>45350</v>
      </c>
      <c r="F1282" s="67" t="inlineStr">
        <is>
          <t>CEJUSC-JT/Criciuma</t>
        </is>
      </c>
      <c r="I1282" s="67" t="inlineStr"/>
      <c r="J1282" s="67" t="inlineStr">
        <is>
          <t>Tarefa</t>
        </is>
      </c>
      <c r="K1282" s="62" t="n">
        <v>46072</v>
      </c>
      <c r="L1282" s="67" t="inlineStr">
        <is>
          <t>Pedro Victor</t>
        </is>
      </c>
      <c r="M1282" s="40" t="inlineStr">
        <is>
          <t>Cumprido</t>
        </is>
      </c>
      <c r="N1282" s="62" t="n">
        <v>46072</v>
      </c>
      <c r="O1282" s="67" t="inlineStr">
        <is>
          <t>Revisão (Documentos de implementação)</t>
        </is>
      </c>
    </row>
    <row r="1283">
      <c r="A1283" s="40" t="inlineStr">
        <is>
          <t>00008374720225120027</t>
        </is>
      </c>
      <c r="B1283" s="40" t="inlineStr">
        <is>
          <t>Outras</t>
        </is>
      </c>
      <c r="D1283" s="67" t="inlineStr">
        <is>
          <t>Pedro Victor</t>
        </is>
      </c>
      <c r="E1283" s="62" t="n">
        <v>45042</v>
      </c>
      <c r="F1283" s="67" t="inlineStr">
        <is>
          <t>2ª VARA DO TRABALHO DE CRICIÚMA</t>
        </is>
      </c>
      <c r="I1283" s="67" t="inlineStr"/>
      <c r="J1283" s="67" t="inlineStr">
        <is>
          <t>Tarefa</t>
        </is>
      </c>
      <c r="K1283" s="62" t="n">
        <v>46072</v>
      </c>
      <c r="L1283" s="67" t="inlineStr">
        <is>
          <t>Marelize Controladoria</t>
        </is>
      </c>
      <c r="M1283" s="40" t="inlineStr">
        <is>
          <t>Cumprido</t>
        </is>
      </c>
      <c r="N1283" s="62" t="n">
        <v>46072</v>
      </c>
      <c r="O1283" s="67" t="inlineStr">
        <is>
          <t>19/02/2026 - Conferir prazos no TJs - TJSC - TJRS - TRT12 - TRF4 - JFSC - TJRJ - TJPR - TJPA - TJSP - TJGO;</t>
        </is>
      </c>
    </row>
    <row r="1284">
      <c r="A1284" s="40" t="n"/>
      <c r="B1284" s="40" t="inlineStr">
        <is>
          <t>Outras</t>
        </is>
      </c>
      <c r="D1284" s="67" t="inlineStr">
        <is>
          <t>Luci</t>
        </is>
      </c>
      <c r="E1284" s="62" t="n">
        <v>45632</v>
      </c>
      <c r="I1284" s="67" t="inlineStr"/>
      <c r="J1284" s="67" t="inlineStr">
        <is>
          <t>Tarefa</t>
        </is>
      </c>
      <c r="K1284" s="62" t="n">
        <v>46072</v>
      </c>
      <c r="L1284" s="67" t="inlineStr">
        <is>
          <t>Marelize Controladoria</t>
        </is>
      </c>
      <c r="M1284" s="40" t="inlineStr">
        <is>
          <t>Cumprido</t>
        </is>
      </c>
      <c r="N1284" s="62" t="n">
        <v>46072</v>
      </c>
      <c r="O1284" s="67" t="inlineStr">
        <is>
          <t>19/02/2026 - Fazer Agendas.</t>
        </is>
      </c>
    </row>
    <row r="1285">
      <c r="A1285" s="40" t="inlineStr">
        <is>
          <t>5013434-74.2019.4.04.7204</t>
        </is>
      </c>
      <c r="B1285" s="40" t="inlineStr">
        <is>
          <t>Outras</t>
        </is>
      </c>
      <c r="D1285" s="67" t="inlineStr">
        <is>
          <t>Renata Francisco Becker</t>
        </is>
      </c>
      <c r="E1285" s="62" t="n">
        <v>44707</v>
      </c>
      <c r="F1285" s="67" t="inlineStr">
        <is>
          <t>Juízo Federal da 1ª VF de Tubarão</t>
        </is>
      </c>
      <c r="I1285" s="67" t="inlineStr"/>
      <c r="J1285" s="67" t="inlineStr">
        <is>
          <t>Tarefa</t>
        </is>
      </c>
      <c r="K1285" s="62" t="n">
        <v>46072</v>
      </c>
      <c r="L1285" s="67" t="inlineStr">
        <is>
          <t>Marelize Controladoria</t>
        </is>
      </c>
      <c r="M1285" s="40" t="inlineStr">
        <is>
          <t>Cumprido</t>
        </is>
      </c>
      <c r="N1285" s="62" t="n">
        <v>46072</v>
      </c>
      <c r="O1285" s="67" t="inlineStr">
        <is>
          <t>19/02/2026 - Fazer Publicações.</t>
        </is>
      </c>
    </row>
    <row r="1286">
      <c r="A1286" s="40" t="inlineStr">
        <is>
          <t>5012344-31.2019.4.04.7204</t>
        </is>
      </c>
      <c r="B1286" s="40" t="inlineStr">
        <is>
          <t>Outras</t>
        </is>
      </c>
      <c r="D1286" s="67" t="inlineStr">
        <is>
          <t>Renata Francisco Becker</t>
        </is>
      </c>
      <c r="E1286" s="62" t="n">
        <v>44707</v>
      </c>
      <c r="F1286" s="67" t="inlineStr">
        <is>
          <t>Juízo Substituto da 1ª VF de Tubarão</t>
        </is>
      </c>
      <c r="I1286" s="67" t="inlineStr"/>
      <c r="J1286" s="67" t="inlineStr">
        <is>
          <t>Tarefa</t>
        </is>
      </c>
      <c r="K1286" s="62" t="n">
        <v>46072</v>
      </c>
      <c r="L1286" s="67" t="inlineStr">
        <is>
          <t>Marelize Controladoria</t>
        </is>
      </c>
      <c r="M1286" s="40" t="inlineStr">
        <is>
          <t>Cumprido</t>
        </is>
      </c>
      <c r="N1286" s="62" t="n">
        <v>46072</v>
      </c>
      <c r="O1286" s="67" t="inlineStr">
        <is>
          <t>19/02/2026 - Olhar E-mails.</t>
        </is>
      </c>
    </row>
    <row r="1287">
      <c r="A1287" s="40" t="inlineStr">
        <is>
          <t>5245072-73.2023.8.21.0001</t>
        </is>
      </c>
      <c r="B1287" s="40" t="inlineStr">
        <is>
          <t>Outras</t>
        </is>
      </c>
      <c r="D1287" s="67" t="inlineStr">
        <is>
          <t>Renata Francisco Becker</t>
        </is>
      </c>
      <c r="E1287" s="62" t="n">
        <v>45390</v>
      </c>
      <c r="I1287" s="67" t="inlineStr"/>
      <c r="J1287" s="67" t="inlineStr">
        <is>
          <t>Tarefa</t>
        </is>
      </c>
      <c r="K1287" s="62" t="n">
        <v>46072</v>
      </c>
      <c r="L1287" s="67" t="inlineStr">
        <is>
          <t>Renata Francisco Becker</t>
        </is>
      </c>
      <c r="M1287" s="40" t="inlineStr">
        <is>
          <t>Cumprido</t>
        </is>
      </c>
      <c r="N1287" s="62" t="n">
        <v>46072</v>
      </c>
      <c r="O1287" s="67" t="inlineStr">
        <is>
          <t>Finalização</t>
        </is>
      </c>
    </row>
    <row r="1288">
      <c r="A1288" s="40" t="n"/>
      <c r="B1288" s="40" t="inlineStr">
        <is>
          <t>Outras</t>
        </is>
      </c>
      <c r="D1288" s="67" t="inlineStr">
        <is>
          <t>Renata Francisco Becker</t>
        </is>
      </c>
      <c r="E1288" s="62" t="n">
        <v>45629</v>
      </c>
      <c r="I1288" s="67" t="inlineStr">
        <is>
          <t>09.2022.00002328-6</t>
        </is>
      </c>
      <c r="J1288" s="67" t="inlineStr">
        <is>
          <t>Tarefa</t>
        </is>
      </c>
      <c r="K1288" s="62" t="n">
        <v>46072</v>
      </c>
      <c r="L1288" s="67" t="inlineStr">
        <is>
          <t>Marelize Controladoria</t>
        </is>
      </c>
      <c r="M1288" s="40" t="inlineStr">
        <is>
          <t>Cumprido</t>
        </is>
      </c>
      <c r="N1288" s="62" t="n">
        <v>46072</v>
      </c>
      <c r="O1288" s="67" t="inlineStr">
        <is>
          <t>lançar tarefa no email.</t>
        </is>
      </c>
    </row>
    <row r="1289">
      <c r="A1289" s="40" t="inlineStr">
        <is>
          <t>0307566-57.2019.8.24.0020</t>
        </is>
      </c>
      <c r="B1289" s="40" t="inlineStr">
        <is>
          <t>Outras</t>
        </is>
      </c>
      <c r="D1289" s="67" t="inlineStr">
        <is>
          <t>Renata Francisco Becker</t>
        </is>
      </c>
      <c r="E1289" s="62" t="n">
        <v>44701</v>
      </c>
      <c r="F1289" s="67" t="inlineStr">
        <is>
          <t>1ª Vara Civel</t>
        </is>
      </c>
      <c r="I1289" s="67" t="inlineStr">
        <is>
          <t>0000851-39.2025.5.12.0055</t>
        </is>
      </c>
      <c r="J1289" s="67" t="inlineStr">
        <is>
          <t>Tarefa</t>
        </is>
      </c>
      <c r="K1289" s="62" t="n">
        <v>46072</v>
      </c>
      <c r="L1289" s="67" t="inlineStr">
        <is>
          <t>Luci</t>
        </is>
      </c>
      <c r="M1289" s="40" t="inlineStr">
        <is>
          <t>Cumprido</t>
        </is>
      </c>
      <c r="N1289" s="62" t="n">
        <v>46072</v>
      </c>
      <c r="O1289" s="67" t="inlineStr">
        <is>
          <t xml:space="preserve">Luci pedir para o Edivanio o extrado do E-social do ultimo ano de contrado da gisele, para provarmos que nao tinha mais que 20 funcionários na empresa e estavamos desobrigados do ponto. Pedir tambem para ele o recibo de doação eleitoral da Gisele para rebater o argumento da doação de campanha. Juntar no processo </t>
        </is>
      </c>
    </row>
    <row r="1290">
      <c r="A1290" s="40" t="inlineStr">
        <is>
          <t>0001214-60.2024.5.12.0055</t>
        </is>
      </c>
      <c r="B1290" s="40" t="inlineStr">
        <is>
          <t>Outras</t>
        </is>
      </c>
      <c r="D1290" s="67" t="inlineStr">
        <is>
          <t>Renata Francisco Becker</t>
        </is>
      </c>
      <c r="E1290" s="62" t="n">
        <v>45560</v>
      </c>
      <c r="F1290" s="67" t="inlineStr">
        <is>
          <t>3ª VARA DO TRABALHO DE CRICIÚMA</t>
        </is>
      </c>
      <c r="I1290" s="67" t="inlineStr">
        <is>
          <t>0000198-30.2026.5.12.0046</t>
        </is>
      </c>
      <c r="J1290" s="67" t="inlineStr">
        <is>
          <t>Tarefa</t>
        </is>
      </c>
      <c r="K1290" s="62" t="n">
        <v>46072</v>
      </c>
      <c r="L1290" s="67" t="inlineStr">
        <is>
          <t>Luci</t>
        </is>
      </c>
      <c r="M1290" s="40" t="inlineStr">
        <is>
          <t>Cumprido</t>
        </is>
      </c>
      <c r="N1290" s="62" t="n">
        <v>46072</v>
      </c>
      <c r="O1290" s="67" t="inlineStr">
        <is>
          <t>Protocolo</t>
        </is>
      </c>
    </row>
    <row r="1291">
      <c r="A1291" s="40" t="n"/>
      <c r="B1291" s="40" t="inlineStr">
        <is>
          <t>Outras</t>
        </is>
      </c>
      <c r="D1291" s="67" t="inlineStr">
        <is>
          <t>Renata Francisco Becker</t>
        </is>
      </c>
      <c r="E1291" s="62" t="n">
        <v>45155</v>
      </c>
      <c r="I1291" s="67" t="inlineStr">
        <is>
          <t>5001164-58.2020.8.24.0166</t>
        </is>
      </c>
      <c r="J1291" s="67" t="inlineStr">
        <is>
          <t>Tarefa</t>
        </is>
      </c>
      <c r="K1291" s="62" t="n">
        <v>46072</v>
      </c>
      <c r="L1291" s="67" t="inlineStr">
        <is>
          <t xml:space="preserve">Alexia </t>
        </is>
      </c>
      <c r="M1291" s="40" t="inlineStr">
        <is>
          <t>Cumprido</t>
        </is>
      </c>
      <c r="N1291" s="62" t="n">
        <v>46072</v>
      </c>
      <c r="O1291" s="67" t="inlineStr">
        <is>
          <t>Protocolo</t>
        </is>
      </c>
    </row>
    <row r="1292">
      <c r="A1292" s="40" t="n"/>
      <c r="B1292" s="40" t="inlineStr">
        <is>
          <t>Outras</t>
        </is>
      </c>
      <c r="D1292" s="67" t="inlineStr">
        <is>
          <t>Renata Francisco Becker</t>
        </is>
      </c>
      <c r="E1292" s="62" t="n">
        <v>45614</v>
      </c>
      <c r="I1292" s="67" t="inlineStr">
        <is>
          <t>40013348420268260100</t>
        </is>
      </c>
      <c r="J1292" s="67" t="inlineStr">
        <is>
          <t>Tarefa</t>
        </is>
      </c>
      <c r="K1292" s="62" t="n">
        <v>46072</v>
      </c>
      <c r="L1292" s="67" t="inlineStr">
        <is>
          <t xml:space="preserve">Alexia </t>
        </is>
      </c>
      <c r="M1292" s="40" t="inlineStr">
        <is>
          <t>Cumprido</t>
        </is>
      </c>
      <c r="N1292" s="62" t="n">
        <v>46072</v>
      </c>
      <c r="O1292" s="67" t="inlineStr">
        <is>
          <t>Protocolo</t>
        </is>
      </c>
    </row>
    <row r="1293">
      <c r="A1293" s="40" t="inlineStr">
        <is>
          <t>5002131-61.2022.8.24.0028</t>
        </is>
      </c>
      <c r="B1293" s="40" t="inlineStr">
        <is>
          <t>Outras</t>
        </is>
      </c>
      <c r="D1293" s="67" t="inlineStr">
        <is>
          <t>Renata Francisco Becker</t>
        </is>
      </c>
      <c r="E1293" s="62" t="n">
        <v>44944</v>
      </c>
      <c r="F1293" s="67" t="inlineStr"/>
      <c r="I1293" s="67" t="inlineStr">
        <is>
          <t>0001269-74.2025.5.12.0055</t>
        </is>
      </c>
      <c r="J1293" s="67" t="inlineStr">
        <is>
          <t>Tarefa</t>
        </is>
      </c>
      <c r="K1293" s="62" t="n">
        <v>46072</v>
      </c>
      <c r="L1293" s="67" t="inlineStr">
        <is>
          <t>Luci</t>
        </is>
      </c>
      <c r="M1293" s="40" t="inlineStr">
        <is>
          <t>Cumprido</t>
        </is>
      </c>
      <c r="N1293" s="62" t="n">
        <v>46072</v>
      </c>
      <c r="O1293" s="67" t="inlineStr">
        <is>
          <t>Protocolo</t>
        </is>
      </c>
    </row>
    <row r="1294">
      <c r="A1294" s="40" t="n"/>
      <c r="B1294" s="40" t="inlineStr">
        <is>
          <t>Outras</t>
        </is>
      </c>
      <c r="D1294" s="67" t="inlineStr">
        <is>
          <t>Renata Francisco Becker</t>
        </is>
      </c>
      <c r="E1294" s="62" t="n">
        <v>45390</v>
      </c>
      <c r="I1294" s="67" t="inlineStr">
        <is>
          <t>5023102-23.2024.8.24.0020</t>
        </is>
      </c>
      <c r="J1294" s="67" t="inlineStr">
        <is>
          <t>Tarefa</t>
        </is>
      </c>
      <c r="K1294" s="62" t="n">
        <v>46072</v>
      </c>
      <c r="L1294" s="67" t="inlineStr">
        <is>
          <t xml:space="preserve">Alexia </t>
        </is>
      </c>
      <c r="M1294" s="40" t="inlineStr">
        <is>
          <t>Cumprido</t>
        </is>
      </c>
      <c r="N1294" s="62" t="n">
        <v>46072</v>
      </c>
      <c r="O1294" s="67" t="inlineStr">
        <is>
          <t>Protocolo - Intimação das testemunhas</t>
        </is>
      </c>
    </row>
    <row r="1295">
      <c r="A1295" s="40" t="n"/>
      <c r="B1295" s="40" t="inlineStr">
        <is>
          <t>Outras</t>
        </is>
      </c>
      <c r="D1295" s="67" t="inlineStr">
        <is>
          <t>Renata Francisco Becker</t>
        </is>
      </c>
      <c r="E1295" s="62" t="n">
        <v>45579</v>
      </c>
      <c r="I1295" s="67" t="inlineStr">
        <is>
          <t>5001802-23.2022.8.24.0166</t>
        </is>
      </c>
      <c r="J1295" s="67" t="inlineStr">
        <is>
          <t>Tarefa</t>
        </is>
      </c>
      <c r="K1295" s="62" t="n">
        <v>46072</v>
      </c>
      <c r="L1295" s="67" t="inlineStr">
        <is>
          <t xml:space="preserve">Alexia </t>
        </is>
      </c>
      <c r="M1295" s="40" t="inlineStr">
        <is>
          <t>Cumprido</t>
        </is>
      </c>
      <c r="N1295" s="62" t="n">
        <v>46072</v>
      </c>
      <c r="O1295" s="67" t="inlineStr">
        <is>
          <t xml:space="preserve">Protocolo - ok
</t>
        </is>
      </c>
    </row>
    <row r="1296">
      <c r="A1296" s="40" t="n"/>
      <c r="B1296" s="40" t="inlineStr">
        <is>
          <t>Outras</t>
        </is>
      </c>
      <c r="D1296" s="67" t="inlineStr">
        <is>
          <t>Renata Francisco Becker</t>
        </is>
      </c>
      <c r="E1296" s="62" t="n">
        <v>45610</v>
      </c>
      <c r="I1296" s="67" t="inlineStr">
        <is>
          <t>50235352720248240020</t>
        </is>
      </c>
      <c r="J1296" s="67" t="inlineStr">
        <is>
          <t>Tarefa</t>
        </is>
      </c>
      <c r="K1296" s="62" t="n">
        <v>46072</v>
      </c>
      <c r="L1296" s="67" t="inlineStr">
        <is>
          <t xml:space="preserve">Alexia </t>
        </is>
      </c>
      <c r="M1296" s="40" t="inlineStr">
        <is>
          <t>Cumprido</t>
        </is>
      </c>
      <c r="N1296" s="62" t="n">
        <v>46072</v>
      </c>
      <c r="O1296" s="67" t="inlineStr">
        <is>
          <t>Protocolo - Vivendas</t>
        </is>
      </c>
    </row>
    <row r="1297">
      <c r="A1297" s="40" t="n"/>
      <c r="B1297" s="40" t="inlineStr">
        <is>
          <t>Outras</t>
        </is>
      </c>
      <c r="D1297" s="67" t="inlineStr">
        <is>
          <t>Luci</t>
        </is>
      </c>
      <c r="E1297" s="62" t="n">
        <v>45616</v>
      </c>
      <c r="I1297" s="67" t="inlineStr">
        <is>
          <t>0000168-46.2018.5.12.0055</t>
        </is>
      </c>
      <c r="J1297" s="67" t="inlineStr">
        <is>
          <t>Tarefa</t>
        </is>
      </c>
      <c r="K1297" s="62" t="n">
        <v>46072</v>
      </c>
      <c r="L1297" s="67" t="inlineStr">
        <is>
          <t>Luci</t>
        </is>
      </c>
      <c r="M1297" s="40" t="inlineStr">
        <is>
          <t>Cumprido</t>
        </is>
      </c>
      <c r="N1297" s="62" t="n">
        <v>46072</v>
      </c>
      <c r="O1297" s="67" t="inlineStr">
        <is>
          <t>Protocolo da Sustentação Oral</t>
        </is>
      </c>
    </row>
    <row r="1298">
      <c r="A1298" s="40" t="inlineStr">
        <is>
          <t>0000659-30.2024.5.12.0027</t>
        </is>
      </c>
      <c r="B1298" s="40" t="inlineStr">
        <is>
          <t>Outras</t>
        </is>
      </c>
      <c r="D1298" s="67" t="inlineStr">
        <is>
          <t>Renata Francisco Becker</t>
        </is>
      </c>
      <c r="E1298" s="62" t="n">
        <v>45476</v>
      </c>
      <c r="F1298" s="67" t="inlineStr"/>
      <c r="I1298" s="67" t="inlineStr">
        <is>
          <t>5133128-39.2026.8.09.0084</t>
        </is>
      </c>
      <c r="J1298" s="67" t="inlineStr">
        <is>
          <t>Tarefa</t>
        </is>
      </c>
      <c r="K1298" s="62" t="n">
        <v>46072</v>
      </c>
      <c r="L1298" s="67" t="inlineStr">
        <is>
          <t xml:space="preserve">Alexia </t>
        </is>
      </c>
      <c r="M1298" s="40" t="inlineStr">
        <is>
          <t>Cumprido</t>
        </is>
      </c>
      <c r="N1298" s="62" t="n">
        <v>46072</v>
      </c>
      <c r="O1298" s="67" t="inlineStr">
        <is>
          <t>RETORNO CLIENTE - Analisar o processo e dar retorno ao cliente sobre o que se trata</t>
        </is>
      </c>
    </row>
    <row r="1299">
      <c r="A1299" s="40" t="inlineStr">
        <is>
          <t>5006080-32.2018.4.04.7204</t>
        </is>
      </c>
      <c r="B1299" s="40" t="inlineStr">
        <is>
          <t>Outras</t>
        </is>
      </c>
      <c r="D1299" s="67" t="inlineStr">
        <is>
          <t>Renata Francisco Becker</t>
        </is>
      </c>
      <c r="E1299" s="62" t="n">
        <v>44741</v>
      </c>
      <c r="F1299" s="67" t="inlineStr">
        <is>
          <t>Juízo Substituto da 4ª VF de Criciúma</t>
        </is>
      </c>
      <c r="I1299" s="67" t="inlineStr"/>
      <c r="J1299" s="67" t="inlineStr">
        <is>
          <t>Tarefa</t>
        </is>
      </c>
      <c r="K1299" s="62" t="n">
        <v>46072</v>
      </c>
      <c r="L1299" s="67" t="inlineStr">
        <is>
          <t>Jessica</t>
        </is>
      </c>
      <c r="M1299" s="40" t="inlineStr">
        <is>
          <t>Cumprido</t>
        </is>
      </c>
      <c r="N1299" s="62" t="n">
        <v>46072</v>
      </c>
      <c r="O1299" s="67" t="inlineStr">
        <is>
          <t>RETORNO CLIENTE - Débitos fiscais do CNPJ (Lídia Turismo)</t>
        </is>
      </c>
    </row>
    <row r="1300">
      <c r="A1300" s="40" t="inlineStr">
        <is>
          <t>5008473-27.2018.4.04.7204</t>
        </is>
      </c>
      <c r="B1300" s="40" t="inlineStr">
        <is>
          <t>Outras</t>
        </is>
      </c>
      <c r="D1300" s="67" t="inlineStr">
        <is>
          <t>Renata Francisco Becker</t>
        </is>
      </c>
      <c r="E1300" s="62" t="n">
        <v>44708</v>
      </c>
      <c r="F1300" s="67" t="inlineStr">
        <is>
          <t>Juízo Federal da 4ª VF de Criciúma</t>
        </is>
      </c>
      <c r="I1300" s="67" t="inlineStr"/>
      <c r="J1300" s="67" t="inlineStr">
        <is>
          <t>Tarefa</t>
        </is>
      </c>
      <c r="K1300" s="62" t="n">
        <v>46072</v>
      </c>
      <c r="L1300" s="67" t="inlineStr">
        <is>
          <t xml:space="preserve">Lucas </t>
        </is>
      </c>
      <c r="M1300" s="40" t="inlineStr">
        <is>
          <t>Cumprido</t>
        </is>
      </c>
      <c r="N1300" s="62" t="n">
        <v>46072</v>
      </c>
      <c r="O1300" s="67" t="inlineStr">
        <is>
          <t>RETORNO CLIENTE - Marilice Ex. Ludgero retorno da notificação</t>
        </is>
      </c>
    </row>
    <row r="1301">
      <c r="A1301" s="40" t="inlineStr">
        <is>
          <t>0000659-30.2024.5.12.0027</t>
        </is>
      </c>
      <c r="B1301" s="40" t="inlineStr">
        <is>
          <t>Outras</t>
        </is>
      </c>
      <c r="D1301" s="67" t="inlineStr">
        <is>
          <t>Renata Francisco Becker</t>
        </is>
      </c>
      <c r="E1301" s="62" t="n">
        <v>45476</v>
      </c>
      <c r="F1301" s="67" t="inlineStr">
        <is>
          <t>CEJUSC-JT/Criciuma</t>
        </is>
      </c>
      <c r="I1301" s="67" t="inlineStr">
        <is>
          <t>5001164-58.2020.8.24.0166</t>
        </is>
      </c>
      <c r="J1301" s="67" t="inlineStr">
        <is>
          <t>Tarefa</t>
        </is>
      </c>
      <c r="K1301" s="62" t="n">
        <v>46072</v>
      </c>
      <c r="L1301" s="67" t="inlineStr">
        <is>
          <t>Renata Francisco Becker</t>
        </is>
      </c>
      <c r="M1301" s="40" t="inlineStr">
        <is>
          <t>Cumprido</t>
        </is>
      </c>
      <c r="N1301" s="62" t="n">
        <v>46072</v>
      </c>
      <c r="O1301" s="67" t="inlineStr">
        <is>
          <t>Revisão</t>
        </is>
      </c>
    </row>
    <row r="1302">
      <c r="A1302" s="40" t="inlineStr">
        <is>
          <t>5012249-98.2019.4.04.7204</t>
        </is>
      </c>
      <c r="B1302" s="40" t="inlineStr">
        <is>
          <t>Outras</t>
        </is>
      </c>
      <c r="D1302" s="67" t="inlineStr">
        <is>
          <t>Renata Francisco Becker</t>
        </is>
      </c>
      <c r="E1302" s="62" t="n">
        <v>44707</v>
      </c>
      <c r="F1302" s="67" t="inlineStr">
        <is>
          <t>Juízo Federal da 1ª VF de Tubarão</t>
        </is>
      </c>
      <c r="I1302" s="67" t="inlineStr"/>
      <c r="J1302" s="67" t="inlineStr">
        <is>
          <t>Tarefa</t>
        </is>
      </c>
      <c r="K1302" s="62" t="n">
        <v>46072</v>
      </c>
      <c r="L1302" s="67" t="inlineStr">
        <is>
          <t>Renata Francisco Becker</t>
        </is>
      </c>
      <c r="M1302" s="40" t="inlineStr">
        <is>
          <t>Cumprido</t>
        </is>
      </c>
      <c r="N1302" s="62" t="n">
        <v>46072</v>
      </c>
      <c r="O1302" s="67" t="inlineStr">
        <is>
          <t>Revisão</t>
        </is>
      </c>
    </row>
    <row r="1303">
      <c r="A1303" s="40" t="inlineStr">
        <is>
          <t>5001948-90.2022.8.24.0028</t>
        </is>
      </c>
      <c r="B1303" s="40" t="inlineStr">
        <is>
          <t>Outras</t>
        </is>
      </c>
      <c r="D1303" s="67" t="inlineStr">
        <is>
          <t>Renata Francisco Becker</t>
        </is>
      </c>
      <c r="E1303" s="62" t="n">
        <v>44701</v>
      </c>
      <c r="F1303" s="67" t="inlineStr">
        <is>
          <t>Juizo Da 1ª Vara Da Comarca De Icara</t>
        </is>
      </c>
      <c r="I1303" s="67" t="inlineStr">
        <is>
          <t>5011264-98.2026.8.24.0930</t>
        </is>
      </c>
      <c r="J1303" s="67" t="inlineStr">
        <is>
          <t>Tarefa</t>
        </is>
      </c>
      <c r="K1303" s="62" t="n">
        <v>46072</v>
      </c>
      <c r="L1303" s="67" t="inlineStr">
        <is>
          <t>Pedro Victor</t>
        </is>
      </c>
      <c r="M1303" s="40" t="inlineStr">
        <is>
          <t>Cumprido</t>
        </is>
      </c>
      <c r="N1303" s="62" t="n">
        <v>46072</v>
      </c>
      <c r="O1303" s="67" t="inlineStr">
        <is>
          <t>Revisão</t>
        </is>
      </c>
    </row>
    <row r="1304">
      <c r="A1304" s="40" t="inlineStr">
        <is>
          <t>5006372-17.2018.4.04.7204</t>
        </is>
      </c>
      <c r="B1304" s="40" t="inlineStr">
        <is>
          <t>Outras</t>
        </is>
      </c>
      <c r="D1304" s="67" t="inlineStr">
        <is>
          <t>Renata Francisco Becker</t>
        </is>
      </c>
      <c r="E1304" s="62" t="n">
        <v>44719</v>
      </c>
      <c r="F1304" s="67" t="inlineStr">
        <is>
          <t>Juízo Federal da 4ª VF de Criciúma</t>
        </is>
      </c>
      <c r="I1304" s="67" t="inlineStr">
        <is>
          <t>5001802-23.2022.8.24.0166</t>
        </is>
      </c>
      <c r="J1304" s="67" t="inlineStr">
        <is>
          <t>Tarefa</t>
        </is>
      </c>
      <c r="K1304" s="62" t="n">
        <v>46072</v>
      </c>
      <c r="L1304" s="67" t="inlineStr">
        <is>
          <t>Renata Francisco Becker</t>
        </is>
      </c>
      <c r="M1304" s="40" t="inlineStr">
        <is>
          <t>Cumprido</t>
        </is>
      </c>
      <c r="N1304" s="62" t="n">
        <v>46072</v>
      </c>
      <c r="O1304" s="67" t="inlineStr">
        <is>
          <t xml:space="preserve">Revisão </t>
        </is>
      </c>
    </row>
    <row r="1305">
      <c r="A1305" s="40" t="n"/>
      <c r="B1305" s="40" t="inlineStr">
        <is>
          <t>Outras</t>
        </is>
      </c>
      <c r="D1305" s="67" t="inlineStr">
        <is>
          <t>Renata Francisco Becker</t>
        </is>
      </c>
      <c r="E1305" s="62" t="n">
        <v>45583</v>
      </c>
      <c r="I1305" s="67" t="inlineStr"/>
      <c r="J1305" s="67" t="inlineStr">
        <is>
          <t>Tarefa</t>
        </is>
      </c>
      <c r="K1305" s="62" t="n">
        <v>46072</v>
      </c>
      <c r="L1305" s="67" t="inlineStr">
        <is>
          <t>Renata Francisco Becker</t>
        </is>
      </c>
      <c r="M1305" s="40" t="inlineStr">
        <is>
          <t>Cumprido</t>
        </is>
      </c>
      <c r="N1305" s="62" t="n">
        <v>46072</v>
      </c>
      <c r="O1305" s="67" t="inlineStr">
        <is>
          <t>Revisão</t>
        </is>
      </c>
    </row>
    <row r="1306">
      <c r="A1306" s="40" t="inlineStr">
        <is>
          <t>5011945-36.2018.4.04.7204</t>
        </is>
      </c>
      <c r="B1306" s="40" t="inlineStr">
        <is>
          <t>Outras</t>
        </is>
      </c>
      <c r="D1306" s="67" t="inlineStr">
        <is>
          <t>Renata Francisco Becker</t>
        </is>
      </c>
      <c r="E1306" s="62" t="n">
        <v>44719</v>
      </c>
      <c r="F1306" s="67" t="inlineStr">
        <is>
          <t>Juízo Federal da 4ª VF de Criciúma</t>
        </is>
      </c>
      <c r="I1306" s="67" t="inlineStr"/>
      <c r="J1306" s="67" t="inlineStr">
        <is>
          <t>Tarefa</t>
        </is>
      </c>
      <c r="K1306" s="62" t="n">
        <v>46072</v>
      </c>
      <c r="L1306" s="67" t="inlineStr">
        <is>
          <t>Luci</t>
        </is>
      </c>
      <c r="M1306" s="40" t="inlineStr">
        <is>
          <t>Cumprido</t>
        </is>
      </c>
      <c r="N1306" s="62" t="n">
        <v>46072</v>
      </c>
      <c r="O1306" s="67" t="inlineStr">
        <is>
          <t>Verificar as ações de competencia trabalhista</t>
        </is>
      </c>
    </row>
    <row r="1307">
      <c r="A1307" s="40" t="n"/>
      <c r="B1307" s="40" t="inlineStr">
        <is>
          <t>Outras</t>
        </is>
      </c>
      <c r="D1307" s="67" t="inlineStr">
        <is>
          <t>Renata Francisco Becker</t>
        </is>
      </c>
      <c r="E1307" s="62" t="n">
        <v>45609</v>
      </c>
      <c r="I1307" s="67" t="inlineStr">
        <is>
          <t>5010232-09.2025.8.24.0020</t>
        </is>
      </c>
      <c r="J1307" s="67" t="inlineStr">
        <is>
          <t>Audiência</t>
        </is>
      </c>
      <c r="K1307" s="62" t="n">
        <v>46072</v>
      </c>
      <c r="L1307" s="67" t="inlineStr">
        <is>
          <t xml:space="preserve">Alexia </t>
        </is>
      </c>
      <c r="M1307" s="40" t="inlineStr">
        <is>
          <t>Cumprido</t>
        </is>
      </c>
      <c r="N1307" s="62" t="n">
        <v>46072</v>
      </c>
      <c r="O1307" s="67" t="inlineStr">
        <is>
          <t>Audiencia de Conciliação ANA BEATRIZ FONTANA MORAES x COLONETTI CONSTRUCOES LTDA</t>
        </is>
      </c>
    </row>
    <row r="1308">
      <c r="A1308" s="40" t="n"/>
      <c r="B1308" s="40" t="inlineStr">
        <is>
          <t>Outras</t>
        </is>
      </c>
      <c r="D1308" s="67" t="inlineStr">
        <is>
          <t>Renata Francisco Becker</t>
        </is>
      </c>
      <c r="E1308" s="62" t="n">
        <v>45589</v>
      </c>
      <c r="I1308" s="67" t="inlineStr"/>
      <c r="J1308" s="67" t="inlineStr">
        <is>
          <t>Evento</t>
        </is>
      </c>
      <c r="K1308" s="62" t="n">
        <v>46072</v>
      </c>
      <c r="L1308" s="67" t="inlineStr">
        <is>
          <t>Luci</t>
        </is>
      </c>
      <c r="M1308" s="40" t="inlineStr">
        <is>
          <t>Cumprido</t>
        </is>
      </c>
      <c r="N1308" s="62" t="n">
        <v>46072</v>
      </c>
      <c r="O1308" s="67" t="inlineStr">
        <is>
          <t>Atendimento Jose Luiz Costa</t>
        </is>
      </c>
    </row>
    <row r="1309">
      <c r="A1309" s="40" t="inlineStr">
        <is>
          <t>50000992420238240004</t>
        </is>
      </c>
      <c r="B1309" s="40" t="inlineStr">
        <is>
          <t>Outras</t>
        </is>
      </c>
      <c r="D1309" s="67" t="inlineStr">
        <is>
          <t>Renata Francisco Becker</t>
        </is>
      </c>
      <c r="E1309" s="62" t="n">
        <v>45755</v>
      </c>
      <c r="F1309" s="67" t="inlineStr">
        <is>
          <t>Vara Cível</t>
        </is>
      </c>
      <c r="I1309" s="67" t="inlineStr"/>
      <c r="J1309" s="67" t="inlineStr">
        <is>
          <t>Evento</t>
        </is>
      </c>
      <c r="K1309" s="62" t="n">
        <v>46072</v>
      </c>
      <c r="L1309" s="67" t="inlineStr">
        <is>
          <t xml:space="preserve">Lucas </t>
        </is>
      </c>
      <c r="M1309" s="40" t="inlineStr">
        <is>
          <t>Cumprido</t>
        </is>
      </c>
      <c r="N1309" s="62" t="n">
        <v>46072</v>
      </c>
      <c r="O1309" s="67" t="inlineStr">
        <is>
          <t>Reunião Kenia Mega Máquinas</t>
        </is>
      </c>
    </row>
    <row r="1310">
      <c r="A1310" s="40" t="inlineStr">
        <is>
          <t>0300361-84.2018.8.24.0028</t>
        </is>
      </c>
      <c r="B1310" s="40" t="inlineStr">
        <is>
          <t>Outras</t>
        </is>
      </c>
      <c r="D1310" s="67" t="inlineStr">
        <is>
          <t>Renata Francisco Becker</t>
        </is>
      </c>
      <c r="E1310" s="62" t="n">
        <v>44701</v>
      </c>
      <c r="F1310" s="67" t="inlineStr">
        <is>
          <t>2ª Vara</t>
        </is>
      </c>
      <c r="I1310" s="67" t="inlineStr"/>
      <c r="J1310" s="67" t="inlineStr">
        <is>
          <t>Evento</t>
        </is>
      </c>
      <c r="K1310" s="62" t="n">
        <v>46072</v>
      </c>
      <c r="L1310" s="67" t="inlineStr">
        <is>
          <t>Luci</t>
        </is>
      </c>
      <c r="M1310" s="40" t="inlineStr">
        <is>
          <t>Cumprido</t>
        </is>
      </c>
      <c r="N1310" s="62" t="n">
        <v>46072</v>
      </c>
      <c r="O1310" s="67" t="inlineStr">
        <is>
          <t>Atendimento Éverton Holmos</t>
        </is>
      </c>
    </row>
    <row r="1311">
      <c r="A1311" s="40" t="inlineStr">
        <is>
          <t>0001040-47.2023.5.12.0003</t>
        </is>
      </c>
      <c r="B1311" s="40" t="inlineStr">
        <is>
          <t>Outras</t>
        </is>
      </c>
      <c r="D1311" s="67" t="inlineStr">
        <is>
          <t>Pedro Victor</t>
        </is>
      </c>
      <c r="E1311" s="62" t="n">
        <v>45350</v>
      </c>
      <c r="F1311" s="67" t="inlineStr">
        <is>
          <t>CEJUSC-JT/Criciuma</t>
        </is>
      </c>
      <c r="I1311" s="67" t="inlineStr">
        <is>
          <t>50012521020248240020</t>
        </is>
      </c>
      <c r="J1311" s="67" t="inlineStr">
        <is>
          <t>Prazo</t>
        </is>
      </c>
      <c r="K1311" s="62" t="n">
        <v>46073</v>
      </c>
      <c r="L1311" s="67" t="inlineStr">
        <is>
          <t xml:space="preserve">Lucas </t>
        </is>
      </c>
      <c r="M1311" s="40" t="inlineStr">
        <is>
          <t>Cumprido</t>
        </is>
      </c>
      <c r="N1311" s="62" t="n">
        <v>46073</v>
      </c>
      <c r="O1311" s="67" t="inlineStr">
        <is>
          <t>ACORDO FERNANDO</t>
        </is>
      </c>
    </row>
    <row r="1312">
      <c r="A1312" s="40" t="inlineStr">
        <is>
          <t>5010730-38.2021.8.24.0023</t>
        </is>
      </c>
      <c r="B1312" s="40" t="inlineStr">
        <is>
          <t>Outras</t>
        </is>
      </c>
      <c r="D1312" s="67" t="inlineStr">
        <is>
          <t>Renata Francisco Becker</t>
        </is>
      </c>
      <c r="E1312" s="62" t="n">
        <v>45173</v>
      </c>
      <c r="F1312" s="67" t="inlineStr"/>
      <c r="I1312" s="67" t="inlineStr">
        <is>
          <t>5011264-98.2026.8.24.0930</t>
        </is>
      </c>
      <c r="J1312" s="67" t="inlineStr">
        <is>
          <t>Prazo</t>
        </is>
      </c>
      <c r="K1312" s="62" t="n">
        <v>46073</v>
      </c>
      <c r="L1312" s="67" t="inlineStr">
        <is>
          <t xml:space="preserve">Alexia </t>
        </is>
      </c>
      <c r="M1312" s="40" t="inlineStr">
        <is>
          <t>Cumprido</t>
        </is>
      </c>
      <c r="N1312" s="62" t="n">
        <v>46073</v>
      </c>
      <c r="O1312" s="67" t="inlineStr">
        <is>
          <t>Agravo de Instrumento</t>
        </is>
      </c>
    </row>
    <row r="1313">
      <c r="A1313" s="40" t="inlineStr">
        <is>
          <t>5012171-07.2019.4.04.7204</t>
        </is>
      </c>
      <c r="B1313" s="40" t="inlineStr">
        <is>
          <t>Outras</t>
        </is>
      </c>
      <c r="D1313" s="67" t="inlineStr">
        <is>
          <t>Renata Francisco Becker</t>
        </is>
      </c>
      <c r="E1313" s="62" t="n">
        <v>44803</v>
      </c>
      <c r="F1313" s="67" t="inlineStr">
        <is>
          <t>Juízo Federal da 1ª VF de Tubarão</t>
        </is>
      </c>
      <c r="I1313" s="67" t="inlineStr">
        <is>
          <t>50617396920258240000</t>
        </is>
      </c>
      <c r="J1313" s="67" t="inlineStr">
        <is>
          <t>Prazo</t>
        </is>
      </c>
      <c r="K1313" s="62" t="n">
        <v>46073</v>
      </c>
      <c r="L1313" s="67" t="inlineStr">
        <is>
          <t xml:space="preserve">Alexia </t>
        </is>
      </c>
      <c r="M1313" s="40" t="inlineStr">
        <is>
          <t>Cumprido</t>
        </is>
      </c>
      <c r="N1313" s="62" t="n">
        <v>46073</v>
      </c>
      <c r="O1313" s="67" t="inlineStr">
        <is>
          <t>Agravo em Recurso Especial</t>
        </is>
      </c>
    </row>
    <row r="1314">
      <c r="A1314" s="40" t="n"/>
      <c r="B1314" s="40" t="inlineStr">
        <is>
          <t>Outras</t>
        </is>
      </c>
      <c r="D1314" s="67" t="inlineStr">
        <is>
          <t>Renata Francisco Becker</t>
        </is>
      </c>
      <c r="E1314" s="62" t="n">
        <v>45482</v>
      </c>
      <c r="I1314" s="67" t="inlineStr">
        <is>
          <t>5026124-09.2025.4.04.0000</t>
        </is>
      </c>
      <c r="J1314" s="67" t="inlineStr">
        <is>
          <t>Prazo</t>
        </is>
      </c>
      <c r="K1314" s="62" t="n">
        <v>46073</v>
      </c>
      <c r="L1314" s="67" t="inlineStr">
        <is>
          <t>Jessica</t>
        </is>
      </c>
      <c r="M1314" s="40" t="inlineStr">
        <is>
          <t>Cumprido</t>
        </is>
      </c>
      <c r="N1314" s="62" t="n">
        <v>46073</v>
      </c>
      <c r="O1314" s="67" t="inlineStr">
        <is>
          <t>Agravo em Recurso Especial</t>
        </is>
      </c>
    </row>
    <row r="1315">
      <c r="A1315" s="40" t="n"/>
      <c r="B1315" s="40" t="inlineStr">
        <is>
          <t>Outras</t>
        </is>
      </c>
      <c r="D1315" s="67" t="inlineStr">
        <is>
          <t>Renata Francisco Becker</t>
        </is>
      </c>
      <c r="E1315" s="62" t="n">
        <v>45595</v>
      </c>
      <c r="I1315" s="67" t="inlineStr"/>
      <c r="J1315" s="67" t="inlineStr">
        <is>
          <t>Prazo</t>
        </is>
      </c>
      <c r="K1315" s="62" t="n">
        <v>46073</v>
      </c>
      <c r="L1315" s="67" t="inlineStr">
        <is>
          <t>Jessica</t>
        </is>
      </c>
      <c r="M1315" s="40" t="inlineStr">
        <is>
          <t>Cumprido</t>
        </is>
      </c>
      <c r="N1315" s="62" t="n">
        <v>46073</v>
      </c>
      <c r="O1315" s="67" t="inlineStr">
        <is>
          <t>Analise de direito PCD para Marli (Papa Jhon)</t>
        </is>
      </c>
    </row>
    <row r="1316">
      <c r="A1316" s="40" t="n"/>
      <c r="B1316" s="40" t="inlineStr">
        <is>
          <t>Outras</t>
        </is>
      </c>
      <c r="D1316" s="67" t="inlineStr">
        <is>
          <t>Renata Francisco Becker</t>
        </is>
      </c>
      <c r="E1316" s="62" t="n">
        <v>45587</v>
      </c>
      <c r="I1316" s="67" t="inlineStr">
        <is>
          <t>5000554-09.2026.8.24.0028</t>
        </is>
      </c>
      <c r="J1316" s="67" t="inlineStr">
        <is>
          <t>Prazo</t>
        </is>
      </c>
      <c r="K1316" s="62" t="n">
        <v>46073</v>
      </c>
      <c r="L1316" s="67" t="inlineStr">
        <is>
          <t>Renata Francisco Becker</t>
        </is>
      </c>
      <c r="M1316" s="40" t="inlineStr">
        <is>
          <t>Cumprido</t>
        </is>
      </c>
      <c r="N1316" s="62" t="n">
        <v>46073</v>
      </c>
      <c r="O1316" s="67" t="inlineStr">
        <is>
          <t>Ciencia da decisão</t>
        </is>
      </c>
    </row>
    <row r="1317">
      <c r="A1317" s="40" t="n"/>
      <c r="B1317" s="40" t="inlineStr">
        <is>
          <t>Outras</t>
        </is>
      </c>
      <c r="D1317" s="67" t="inlineStr">
        <is>
          <t>Renata Francisco Becker</t>
        </is>
      </c>
      <c r="E1317" s="62" t="n">
        <v>45555</v>
      </c>
      <c r="I1317" s="67" t="inlineStr">
        <is>
          <t>5012163-30.2019.4.04.7204</t>
        </is>
      </c>
      <c r="J1317" s="67" t="inlineStr">
        <is>
          <t>Prazo</t>
        </is>
      </c>
      <c r="K1317" s="62" t="n">
        <v>46073</v>
      </c>
      <c r="L1317" s="67" t="inlineStr">
        <is>
          <t>Renata Francisco Becker</t>
        </is>
      </c>
      <c r="M1317" s="40" t="inlineStr">
        <is>
          <t>Cumprido</t>
        </is>
      </c>
      <c r="N1317" s="62" t="n">
        <v>46073</v>
      </c>
      <c r="O1317" s="67" t="inlineStr">
        <is>
          <t>Ciência da Decisão</t>
        </is>
      </c>
    </row>
    <row r="1318">
      <c r="A1318" s="40" t="inlineStr">
        <is>
          <t>5006879-92.2024.8.24.0020</t>
        </is>
      </c>
      <c r="B1318" s="40" t="inlineStr">
        <is>
          <t>Outras</t>
        </is>
      </c>
      <c r="D1318" s="67" t="inlineStr">
        <is>
          <t>Renata Francisco Becker</t>
        </is>
      </c>
      <c r="E1318" s="62" t="n">
        <v>45373</v>
      </c>
      <c r="F1318" s="67" t="inlineStr"/>
      <c r="I1318" s="67" t="inlineStr">
        <is>
          <t>5003082-74.2025.8.24.0020</t>
        </is>
      </c>
      <c r="J1318" s="67" t="inlineStr">
        <is>
          <t>Prazo</t>
        </is>
      </c>
      <c r="K1318" s="62" t="n">
        <v>46073</v>
      </c>
      <c r="L1318" s="67" t="inlineStr">
        <is>
          <t xml:space="preserve">Alexia </t>
        </is>
      </c>
      <c r="M1318" s="40" t="inlineStr">
        <is>
          <t>Cumprido</t>
        </is>
      </c>
      <c r="N1318" s="62" t="n">
        <v>46073</v>
      </c>
      <c r="O1318" s="67" t="inlineStr">
        <is>
          <t xml:space="preserve">Contestação </t>
        </is>
      </c>
    </row>
    <row r="1319">
      <c r="A1319" s="40" t="n"/>
      <c r="B1319" s="40" t="inlineStr">
        <is>
          <t>Outras</t>
        </is>
      </c>
      <c r="D1319" s="67" t="inlineStr">
        <is>
          <t>Renata Francisco Becker</t>
        </is>
      </c>
      <c r="E1319" s="62" t="n">
        <v>45491</v>
      </c>
      <c r="I1319" s="67" t="inlineStr"/>
      <c r="J1319" s="67" t="inlineStr">
        <is>
          <t>Prazo</t>
        </is>
      </c>
      <c r="K1319" s="62" t="n">
        <v>46073</v>
      </c>
      <c r="L1319" s="67" t="inlineStr">
        <is>
          <t>Jessica</t>
        </is>
      </c>
      <c r="M1319" s="40" t="inlineStr">
        <is>
          <t>Cumprido</t>
        </is>
      </c>
      <c r="N1319" s="62" t="n">
        <v>46073</v>
      </c>
      <c r="O1319" s="67" t="inlineStr">
        <is>
          <t>Elaboração de Contrato de Prestação de Serviço Graziela Alessandra de Morais Teixeira</t>
        </is>
      </c>
    </row>
    <row r="1320">
      <c r="A1320" s="40" t="inlineStr">
        <is>
          <t>00009327720225120027</t>
        </is>
      </c>
      <c r="B1320" s="40" t="inlineStr">
        <is>
          <t>Outras</t>
        </is>
      </c>
      <c r="D1320" s="67" t="inlineStr">
        <is>
          <t>Pedro Victor</t>
        </is>
      </c>
      <c r="E1320" s="62" t="n">
        <v>45034</v>
      </c>
      <c r="F1320" s="67" t="inlineStr">
        <is>
          <t>2ª VARA DO TRABALHO DE CRICIÚMA</t>
        </is>
      </c>
      <c r="I1320" s="67" t="inlineStr"/>
      <c r="J1320" s="67" t="inlineStr">
        <is>
          <t>Prazo</t>
        </is>
      </c>
      <c r="K1320" s="62" t="n">
        <v>46073</v>
      </c>
      <c r="L1320" s="67" t="inlineStr">
        <is>
          <t>Jessica</t>
        </is>
      </c>
      <c r="M1320" s="40" t="inlineStr">
        <is>
          <t>Cumprido</t>
        </is>
      </c>
      <c r="N1320" s="62" t="n">
        <v>46073</v>
      </c>
      <c r="O1320" s="67" t="inlineStr">
        <is>
          <t>Elaboração de Contrato de prestação de serviços Raul Gabriel da Costa Gouvea</t>
        </is>
      </c>
    </row>
    <row r="1321">
      <c r="A1321" s="40" t="n"/>
      <c r="B1321" s="40" t="inlineStr">
        <is>
          <t>Outras</t>
        </is>
      </c>
      <c r="D1321" s="67" t="inlineStr">
        <is>
          <t>Renata Francisco Becker</t>
        </is>
      </c>
      <c r="E1321" s="62" t="n">
        <v>45519</v>
      </c>
      <c r="F1321" s="67" t="inlineStr"/>
      <c r="I1321" s="67" t="inlineStr"/>
      <c r="J1321" s="67" t="inlineStr">
        <is>
          <t>Prazo</t>
        </is>
      </c>
      <c r="K1321" s="62" t="n">
        <v>46073</v>
      </c>
      <c r="L1321" s="67" t="inlineStr">
        <is>
          <t>Jessica</t>
        </is>
      </c>
      <c r="M1321" s="40" t="inlineStr">
        <is>
          <t>Cumprido</t>
        </is>
      </c>
      <c r="N1321" s="62" t="n">
        <v>46073</v>
      </c>
      <c r="O1321" s="67" t="inlineStr">
        <is>
          <t>Notificação da JJ - Marca Vanish</t>
        </is>
      </c>
    </row>
    <row r="1322">
      <c r="A1322" s="40" t="n"/>
      <c r="B1322" s="40" t="inlineStr">
        <is>
          <t>Outras</t>
        </is>
      </c>
      <c r="D1322" s="67" t="inlineStr">
        <is>
          <t>Renata Francisco Becker</t>
        </is>
      </c>
      <c r="E1322" s="62" t="n">
        <v>45569</v>
      </c>
      <c r="I1322" s="67" t="inlineStr">
        <is>
          <t>5004796-79.2024.8.24.0028</t>
        </is>
      </c>
      <c r="J1322" s="67" t="inlineStr">
        <is>
          <t>Prazo</t>
        </is>
      </c>
      <c r="K1322" s="62" t="n">
        <v>46073</v>
      </c>
      <c r="L1322" s="67" t="inlineStr">
        <is>
          <t xml:space="preserve">Alexia </t>
        </is>
      </c>
      <c r="M1322" s="40" t="inlineStr">
        <is>
          <t>Cumprido</t>
        </is>
      </c>
      <c r="N1322" s="62" t="n">
        <v>46073</v>
      </c>
      <c r="O1322" s="67" t="inlineStr">
        <is>
          <t xml:space="preserve">Prazo </t>
        </is>
      </c>
    </row>
    <row r="1323">
      <c r="A1323" s="40" t="inlineStr">
        <is>
          <t>5017739-94.2020.8.24.0020</t>
        </is>
      </c>
      <c r="B1323" s="40" t="inlineStr">
        <is>
          <t>Outras</t>
        </is>
      </c>
      <c r="D1323" s="67" t="inlineStr">
        <is>
          <t>Renata Francisco Becker</t>
        </is>
      </c>
      <c r="E1323" s="62" t="n">
        <v>44755</v>
      </c>
      <c r="F1323" s="67" t="inlineStr"/>
      <c r="I1323" s="67" t="inlineStr">
        <is>
          <t>5001271-45.2026.8.24.0020</t>
        </is>
      </c>
      <c r="J1323" s="67" t="inlineStr">
        <is>
          <t>Prazo</t>
        </is>
      </c>
      <c r="K1323" s="62" t="n">
        <v>46073</v>
      </c>
      <c r="L1323" s="67" t="inlineStr">
        <is>
          <t xml:space="preserve">Alexia </t>
        </is>
      </c>
      <c r="M1323" s="40" t="inlineStr">
        <is>
          <t>Cumprido</t>
        </is>
      </c>
      <c r="N1323" s="62" t="n">
        <v>46073</v>
      </c>
      <c r="O1323" s="67" t="inlineStr">
        <is>
          <t xml:space="preserve">Prazo </t>
        </is>
      </c>
    </row>
    <row r="1324">
      <c r="A1324" s="40" t="n"/>
      <c r="B1324" s="40" t="inlineStr">
        <is>
          <t>Outras</t>
        </is>
      </c>
      <c r="D1324" s="67" t="inlineStr">
        <is>
          <t>Pedro Victor</t>
        </is>
      </c>
      <c r="E1324" s="62" t="n">
        <v>45553</v>
      </c>
      <c r="I1324" s="67" t="inlineStr">
        <is>
          <t>5000981-30.2026.8.24.0020</t>
        </is>
      </c>
      <c r="J1324" s="67" t="inlineStr">
        <is>
          <t>Prazo</t>
        </is>
      </c>
      <c r="K1324" s="62" t="n">
        <v>46073</v>
      </c>
      <c r="L1324" s="67" t="inlineStr">
        <is>
          <t xml:space="preserve">Alexia </t>
        </is>
      </c>
      <c r="M1324" s="40" t="inlineStr">
        <is>
          <t>Cumprido</t>
        </is>
      </c>
      <c r="N1324" s="62" t="n">
        <v>46073</v>
      </c>
      <c r="O1324" s="67" t="inlineStr">
        <is>
          <t>Prazo</t>
        </is>
      </c>
    </row>
    <row r="1325">
      <c r="A1325" s="40" t="n"/>
      <c r="B1325" s="40" t="inlineStr">
        <is>
          <t>Outras</t>
        </is>
      </c>
      <c r="D1325" s="67" t="inlineStr">
        <is>
          <t>Renata Francisco Becker</t>
        </is>
      </c>
      <c r="E1325" s="62" t="n">
        <v>45575</v>
      </c>
      <c r="I1325" s="67" t="inlineStr">
        <is>
          <t>5010580-75.2025.8.24.0004</t>
        </is>
      </c>
      <c r="J1325" s="67" t="inlineStr">
        <is>
          <t>Prazo</t>
        </is>
      </c>
      <c r="K1325" s="62" t="n">
        <v>46073</v>
      </c>
      <c r="L1325" s="67" t="inlineStr">
        <is>
          <t>Renata Francisco Becker</t>
        </is>
      </c>
      <c r="M1325" s="40" t="inlineStr">
        <is>
          <t>Cumprido</t>
        </is>
      </c>
      <c r="N1325" s="62" t="n">
        <v>46073</v>
      </c>
      <c r="O1325" s="67" t="inlineStr">
        <is>
          <t>Prazo</t>
        </is>
      </c>
    </row>
    <row r="1326">
      <c r="A1326" s="40" t="inlineStr">
        <is>
          <t>5258843-21.2023.8.21.0001</t>
        </is>
      </c>
      <c r="B1326" s="40" t="inlineStr">
        <is>
          <t>Outras</t>
        </is>
      </c>
      <c r="D1326" s="67" t="inlineStr">
        <is>
          <t>Renata Francisco Becker</t>
        </is>
      </c>
      <c r="E1326" s="62" t="n">
        <v>45274</v>
      </c>
      <c r="I1326" s="67" t="inlineStr">
        <is>
          <t>50097130520238240020</t>
        </is>
      </c>
      <c r="J1326" s="67" t="inlineStr">
        <is>
          <t>Prazo</t>
        </is>
      </c>
      <c r="K1326" s="62" t="n">
        <v>46073</v>
      </c>
      <c r="L1326" s="67" t="inlineStr">
        <is>
          <t xml:space="preserve">Alexia </t>
        </is>
      </c>
      <c r="M1326" s="40" t="inlineStr">
        <is>
          <t>Cumprido</t>
        </is>
      </c>
      <c r="N1326" s="62" t="n">
        <v>46073</v>
      </c>
      <c r="O1326" s="67" t="inlineStr">
        <is>
          <t>Prazo Natalia</t>
        </is>
      </c>
    </row>
    <row r="1327">
      <c r="A1327" s="40" t="n"/>
      <c r="B1327" s="40" t="inlineStr">
        <is>
          <t>Outras</t>
        </is>
      </c>
      <c r="D1327" s="67" t="inlineStr">
        <is>
          <t>Pedro Victor</t>
        </is>
      </c>
      <c r="E1327" s="62" t="n">
        <v>45567</v>
      </c>
      <c r="I1327" s="67" t="inlineStr">
        <is>
          <t>5004796-79.2024.8.24.0028</t>
        </is>
      </c>
      <c r="J1327" s="67" t="inlineStr">
        <is>
          <t>Prazo</t>
        </is>
      </c>
      <c r="K1327" s="62" t="n">
        <v>46073</v>
      </c>
      <c r="L1327" s="67" t="inlineStr">
        <is>
          <t>Pedro Victor</t>
        </is>
      </c>
      <c r="M1327" s="40" t="inlineStr">
        <is>
          <t>Cumprido</t>
        </is>
      </c>
      <c r="N1327" s="62" t="n">
        <v>46073</v>
      </c>
      <c r="O1327" s="67" t="inlineStr">
        <is>
          <t>Tentativa de acordo</t>
        </is>
      </c>
    </row>
    <row r="1328">
      <c r="A1328" s="40" t="inlineStr">
        <is>
          <t>0000237-07.2024.5.12.0043</t>
        </is>
      </c>
      <c r="B1328" s="40" t="inlineStr">
        <is>
          <t>Outras</t>
        </is>
      </c>
      <c r="D1328" s="67" t="inlineStr">
        <is>
          <t>Pedro Victor</t>
        </is>
      </c>
      <c r="E1328" s="62" t="n">
        <v>45411</v>
      </c>
      <c r="F1328" s="67" t="inlineStr">
        <is>
          <t>VARA DO TRABALHO DE IMBITUBA</t>
        </is>
      </c>
      <c r="I1328" s="67" t="inlineStr"/>
      <c r="J1328" s="67" t="inlineStr">
        <is>
          <t>Tarefa</t>
        </is>
      </c>
      <c r="K1328" s="62" t="n">
        <v>46073</v>
      </c>
      <c r="L1328" s="67" t="inlineStr">
        <is>
          <t xml:space="preserve">Lucas </t>
        </is>
      </c>
      <c r="M1328" s="40" t="inlineStr">
        <is>
          <t>Cumprido</t>
        </is>
      </c>
      <c r="N1328" s="62" t="n">
        <v>46073</v>
      </c>
      <c r="O1328" s="67" t="inlineStr">
        <is>
          <t>20/02/2026 - CONFERIR ATIVIDADES MONITORADAS</t>
        </is>
      </c>
    </row>
    <row r="1329">
      <c r="A1329" s="40" t="n"/>
      <c r="B1329" s="40" t="inlineStr">
        <is>
          <t>Outras</t>
        </is>
      </c>
      <c r="D1329" s="67" t="inlineStr">
        <is>
          <t>Luci</t>
        </is>
      </c>
      <c r="E1329" s="62" t="n">
        <v>45583</v>
      </c>
      <c r="I1329" s="67" t="inlineStr">
        <is>
          <t>5011264-98.2026.8.24.0930</t>
        </is>
      </c>
      <c r="J1329" s="67" t="inlineStr">
        <is>
          <t>Tarefa</t>
        </is>
      </c>
      <c r="K1329" s="62" t="n">
        <v>46073</v>
      </c>
      <c r="L1329" s="67" t="inlineStr">
        <is>
          <t xml:space="preserve">Alexia </t>
        </is>
      </c>
      <c r="M1329" s="40" t="inlineStr">
        <is>
          <t>Cumprido</t>
        </is>
      </c>
      <c r="N1329" s="62" t="n">
        <v>46073</v>
      </c>
      <c r="O1329" s="67" t="inlineStr">
        <is>
          <t>Emitir guia recursal</t>
        </is>
      </c>
    </row>
    <row r="1330">
      <c r="A1330" s="40" t="n"/>
      <c r="B1330" s="40" t="inlineStr">
        <is>
          <t>Outras</t>
        </is>
      </c>
      <c r="D1330" s="67" t="inlineStr">
        <is>
          <t>Pedro Victor</t>
        </is>
      </c>
      <c r="E1330" s="62" t="n">
        <v>45524</v>
      </c>
      <c r="I1330" s="67" t="inlineStr">
        <is>
          <t>5026124-09.2025.4.04.0000</t>
        </is>
      </c>
      <c r="J1330" s="67" t="inlineStr">
        <is>
          <t>Tarefa</t>
        </is>
      </c>
      <c r="K1330" s="62" t="n">
        <v>46073</v>
      </c>
      <c r="L1330" s="67" t="inlineStr">
        <is>
          <t>Jessica</t>
        </is>
      </c>
      <c r="M1330" s="40" t="inlineStr">
        <is>
          <t>Cumprido</t>
        </is>
      </c>
      <c r="N1330" s="62" t="n">
        <v>46073</v>
      </c>
      <c r="O1330" s="67" t="inlineStr">
        <is>
          <t>Emitir preparo recursal e juntar nos autos</t>
        </is>
      </c>
    </row>
    <row r="1331">
      <c r="A1331" s="40" t="n"/>
      <c r="B1331" s="40" t="inlineStr">
        <is>
          <t>Outras</t>
        </is>
      </c>
      <c r="D1331" s="67" t="inlineStr">
        <is>
          <t>Pedro Victor</t>
        </is>
      </c>
      <c r="E1331" s="62" t="n">
        <v>45546</v>
      </c>
      <c r="I1331" s="67" t="inlineStr">
        <is>
          <t>50617396920258240000</t>
        </is>
      </c>
      <c r="J1331" s="67" t="inlineStr">
        <is>
          <t>Tarefa</t>
        </is>
      </c>
      <c r="K1331" s="62" t="n">
        <v>46073</v>
      </c>
      <c r="L1331" s="67" t="inlineStr">
        <is>
          <t xml:space="preserve">Alexia </t>
        </is>
      </c>
      <c r="M1331" s="40" t="inlineStr">
        <is>
          <t>Cumprido</t>
        </is>
      </c>
      <c r="N1331" s="62" t="n">
        <v>46073</v>
      </c>
      <c r="O1331" s="67" t="inlineStr">
        <is>
          <t>Emitir preparo recursal e juntar nos autos</t>
        </is>
      </c>
    </row>
    <row r="1332">
      <c r="A1332" s="40" t="n"/>
      <c r="B1332" s="40" t="inlineStr">
        <is>
          <t>Outras</t>
        </is>
      </c>
      <c r="D1332" s="67" t="inlineStr">
        <is>
          <t>Pedro Victor</t>
        </is>
      </c>
      <c r="E1332" s="62" t="n">
        <v>45545</v>
      </c>
      <c r="I1332" s="67" t="inlineStr"/>
      <c r="J1332" s="67" t="inlineStr">
        <is>
          <t>Tarefa</t>
        </is>
      </c>
      <c r="K1332" s="62" t="n">
        <v>46073</v>
      </c>
      <c r="L1332" s="67" t="inlineStr">
        <is>
          <t xml:space="preserve">Lucas </t>
        </is>
      </c>
      <c r="M1332" s="40" t="inlineStr">
        <is>
          <t>Cumprido</t>
        </is>
      </c>
      <c r="N1332" s="62" t="n">
        <v>46073</v>
      </c>
      <c r="O1332" s="67" t="inlineStr">
        <is>
          <t>Implementação (Documentos e orientações)</t>
        </is>
      </c>
    </row>
    <row r="1333">
      <c r="A1333" s="40" t="n"/>
      <c r="B1333" s="40" t="inlineStr">
        <is>
          <t>Outras</t>
        </is>
      </c>
      <c r="D1333" s="67" t="inlineStr">
        <is>
          <t>Renata Francisco Becker</t>
        </is>
      </c>
      <c r="E1333" s="62" t="n">
        <v>45541</v>
      </c>
      <c r="I1333" s="67" t="inlineStr">
        <is>
          <t>5012063-48.2022.8.24.0004</t>
        </is>
      </c>
      <c r="J1333" s="67" t="inlineStr">
        <is>
          <t>Tarefa</t>
        </is>
      </c>
      <c r="K1333" s="62" t="n">
        <v>46073</v>
      </c>
      <c r="L1333" s="67" t="inlineStr">
        <is>
          <t>Pedro Victor</t>
        </is>
      </c>
      <c r="M1333" s="40" t="inlineStr">
        <is>
          <t>Cumprido</t>
        </is>
      </c>
      <c r="N1333" s="62" t="n">
        <v>46073</v>
      </c>
      <c r="O1333" s="67" t="inlineStr">
        <is>
          <t xml:space="preserve">indicar bens a penhora </t>
        </is>
      </c>
    </row>
    <row r="1334">
      <c r="A1334" s="40" t="inlineStr">
        <is>
          <t>5062436-27.2024.8.24.0000</t>
        </is>
      </c>
      <c r="B1334" s="40" t="inlineStr">
        <is>
          <t>Outras</t>
        </is>
      </c>
      <c r="D1334" s="67" t="inlineStr">
        <is>
          <t>Renata Francisco Becker</t>
        </is>
      </c>
      <c r="E1334" s="62" t="n">
        <v>45581</v>
      </c>
      <c r="F1334" s="67" t="inlineStr"/>
      <c r="I1334" s="67" t="inlineStr">
        <is>
          <t>5007152-10.2025.4.04.7204</t>
        </is>
      </c>
      <c r="J1334" s="67" t="inlineStr">
        <is>
          <t>Tarefa</t>
        </is>
      </c>
      <c r="K1334" s="62" t="n">
        <v>46073</v>
      </c>
      <c r="L1334" s="67" t="inlineStr">
        <is>
          <t xml:space="preserve">Alexia </t>
        </is>
      </c>
      <c r="M1334" s="40" t="inlineStr">
        <is>
          <t>Cumprido</t>
        </is>
      </c>
      <c r="N1334" s="62" t="n">
        <v>46073</v>
      </c>
      <c r="O1334" s="67" t="inlineStr">
        <is>
          <t xml:space="preserve">Protocolo </t>
        </is>
      </c>
    </row>
    <row r="1335">
      <c r="A1335" s="40" t="inlineStr">
        <is>
          <t>5012246-46.2019.4.04.7204</t>
        </is>
      </c>
      <c r="B1335" s="40" t="inlineStr">
        <is>
          <t>Outras</t>
        </is>
      </c>
      <c r="D1335" s="67" t="inlineStr">
        <is>
          <t>Renata Francisco Becker</t>
        </is>
      </c>
      <c r="E1335" s="62" t="n">
        <v>44803</v>
      </c>
      <c r="F1335" s="67" t="inlineStr">
        <is>
          <t>Juízo Substituto da 1ª VF de Tubarão</t>
        </is>
      </c>
      <c r="I1335" s="67" t="inlineStr">
        <is>
          <t>5012518-57.2025.8.24.0020</t>
        </is>
      </c>
      <c r="J1335" s="67" t="inlineStr">
        <is>
          <t>Tarefa</t>
        </is>
      </c>
      <c r="K1335" s="62" t="n">
        <v>46073</v>
      </c>
      <c r="L1335" s="67" t="inlineStr">
        <is>
          <t xml:space="preserve">Alexia </t>
        </is>
      </c>
      <c r="M1335" s="40" t="inlineStr">
        <is>
          <t>Cumprido</t>
        </is>
      </c>
      <c r="N1335" s="62" t="n">
        <v>46073</v>
      </c>
      <c r="O1335" s="67" t="inlineStr">
        <is>
          <t xml:space="preserve">Protocolo </t>
        </is>
      </c>
    </row>
    <row r="1336">
      <c r="A1336" s="40" t="inlineStr">
        <is>
          <t>5012261-15.2019.4.04.7204</t>
        </is>
      </c>
      <c r="B1336" s="40" t="inlineStr">
        <is>
          <t>Outras</t>
        </is>
      </c>
      <c r="D1336" s="67" t="inlineStr">
        <is>
          <t>Renata Francisco Becker</t>
        </is>
      </c>
      <c r="E1336" s="62" t="n">
        <v>44707</v>
      </c>
      <c r="F1336" s="67" t="inlineStr">
        <is>
          <t>Juízo Federal da 1ª VF de Tubarão</t>
        </is>
      </c>
      <c r="I1336" s="67" t="inlineStr">
        <is>
          <t>5011355-42.2025.8.24.0020</t>
        </is>
      </c>
      <c r="J1336" s="67" t="inlineStr">
        <is>
          <t>Tarefa</t>
        </is>
      </c>
      <c r="K1336" s="62" t="n">
        <v>46073</v>
      </c>
      <c r="L1336" s="67" t="inlineStr">
        <is>
          <t xml:space="preserve">Alexia </t>
        </is>
      </c>
      <c r="M1336" s="40" t="inlineStr">
        <is>
          <t>Cumprido</t>
        </is>
      </c>
      <c r="N1336" s="62" t="n">
        <v>46073</v>
      </c>
      <c r="O1336" s="67" t="inlineStr">
        <is>
          <t xml:space="preserve">Protocolo </t>
        </is>
      </c>
    </row>
    <row r="1337">
      <c r="A1337" s="40" t="inlineStr">
        <is>
          <t>5000515-83.2023.8.24.0006</t>
        </is>
      </c>
      <c r="B1337" s="40" t="inlineStr">
        <is>
          <t>Outras</t>
        </is>
      </c>
      <c r="D1337" s="67" t="inlineStr">
        <is>
          <t>Renata Francisco Becker</t>
        </is>
      </c>
      <c r="E1337" s="62" t="n">
        <v>45468</v>
      </c>
      <c r="F1337" s="67" t="inlineStr">
        <is>
          <t>Gab 01 - 1ª Turma Recursal</t>
        </is>
      </c>
      <c r="I1337" s="67" t="inlineStr"/>
      <c r="J1337" s="67" t="inlineStr">
        <is>
          <t>Tarefa</t>
        </is>
      </c>
      <c r="K1337" s="62" t="n">
        <v>46073</v>
      </c>
      <c r="L1337" s="67" t="inlineStr">
        <is>
          <t>Marelize Controladoria</t>
        </is>
      </c>
      <c r="M1337" s="40" t="inlineStr">
        <is>
          <t>Cumprido</t>
        </is>
      </c>
      <c r="N1337" s="62" t="n">
        <v>46073</v>
      </c>
      <c r="O1337" s="67" t="inlineStr">
        <is>
          <t>20/02/2026 - Conferir prazos no TJs - TJSC - TJRS - TRT12 - TRF4 - JFSC - TJRJ - TJPR - TJPA - TJSP - TJGO;</t>
        </is>
      </c>
    </row>
    <row r="1338">
      <c r="A1338" s="40" t="inlineStr">
        <is>
          <t>5006887-52.2018.4.04.7204</t>
        </is>
      </c>
      <c r="B1338" s="40" t="inlineStr">
        <is>
          <t>Outras</t>
        </is>
      </c>
      <c r="D1338" s="67" t="inlineStr">
        <is>
          <t>Renata Francisco Becker</t>
        </is>
      </c>
      <c r="E1338" s="62" t="n">
        <v>44741</v>
      </c>
      <c r="F1338" s="67" t="inlineStr">
        <is>
          <t>Juízo Substituto da 4ª VF de Criciúma</t>
        </is>
      </c>
      <c r="I1338" s="67" t="inlineStr"/>
      <c r="J1338" s="67" t="inlineStr">
        <is>
          <t>Tarefa</t>
        </is>
      </c>
      <c r="K1338" s="62" t="n">
        <v>46073</v>
      </c>
      <c r="L1338" s="67" t="inlineStr">
        <is>
          <t>Jessica</t>
        </is>
      </c>
      <c r="M1338" s="40" t="inlineStr">
        <is>
          <t>Cumprido</t>
        </is>
      </c>
      <c r="N1338" s="62" t="n">
        <v>46073</v>
      </c>
      <c r="O1338" s="67" t="inlineStr">
        <is>
          <t>20/02/2026 - Emissao de guia junto ao SEFAZ/RS do parcelamento</t>
        </is>
      </c>
    </row>
    <row r="1339">
      <c r="A1339" s="40" t="inlineStr">
        <is>
          <t>5004140-54.2021.8.24.0020</t>
        </is>
      </c>
      <c r="B1339" s="40" t="inlineStr">
        <is>
          <t>Outras</t>
        </is>
      </c>
      <c r="D1339" s="67" t="inlineStr">
        <is>
          <t>Renata Francisco Becker</t>
        </is>
      </c>
      <c r="E1339" s="62" t="n">
        <v>44701</v>
      </c>
      <c r="F1339" s="67" t="inlineStr">
        <is>
          <t>Juizo Da 3ª Vara Civel Da Comarca De Criciuma</t>
        </is>
      </c>
      <c r="I1339" s="67" t="inlineStr"/>
      <c r="J1339" s="67" t="inlineStr">
        <is>
          <t>Tarefa</t>
        </is>
      </c>
      <c r="K1339" s="62" t="n">
        <v>46073</v>
      </c>
      <c r="L1339" s="67" t="inlineStr">
        <is>
          <t>Marelize Controladoria</t>
        </is>
      </c>
      <c r="M1339" s="40" t="inlineStr">
        <is>
          <t>Cumprido</t>
        </is>
      </c>
      <c r="N1339" s="62" t="n">
        <v>46073</v>
      </c>
      <c r="O1339" s="67" t="inlineStr">
        <is>
          <t>20/02/2026 - Fazer Agendas.</t>
        </is>
      </c>
    </row>
    <row r="1340">
      <c r="A1340" s="40" t="inlineStr">
        <is>
          <t>5012175-44.2019.4.04.7204</t>
        </is>
      </c>
      <c r="B1340" s="40" t="inlineStr">
        <is>
          <t>Outras</t>
        </is>
      </c>
      <c r="D1340" s="67" t="inlineStr">
        <is>
          <t>Renata Francisco Becker</t>
        </is>
      </c>
      <c r="E1340" s="62" t="n">
        <v>44706</v>
      </c>
      <c r="F1340" s="67" t="inlineStr">
        <is>
          <t>Juízo Substituto da 1ª VF de Tubarão</t>
        </is>
      </c>
      <c r="I1340" s="67" t="inlineStr"/>
      <c r="J1340" s="67" t="inlineStr">
        <is>
          <t>Tarefa</t>
        </is>
      </c>
      <c r="K1340" s="62" t="n">
        <v>46073</v>
      </c>
      <c r="L1340" s="67" t="inlineStr">
        <is>
          <t>Marelize Controladoria</t>
        </is>
      </c>
      <c r="M1340" s="40" t="inlineStr">
        <is>
          <t>Cumprido</t>
        </is>
      </c>
      <c r="N1340" s="62" t="n">
        <v>46073</v>
      </c>
      <c r="O1340" s="67" t="inlineStr">
        <is>
          <t>20/02/2026 - Fazer Publicações.</t>
        </is>
      </c>
    </row>
    <row r="1341">
      <c r="A1341" s="40" t="inlineStr">
        <is>
          <t>00010291820235120003</t>
        </is>
      </c>
      <c r="B1341" s="40" t="inlineStr">
        <is>
          <t>Outras</t>
        </is>
      </c>
      <c r="D1341" s="67" t="inlineStr">
        <is>
          <t>Pedro Victor</t>
        </is>
      </c>
      <c r="E1341" s="62" t="n">
        <v>45268</v>
      </c>
      <c r="F1341" s="67" t="inlineStr">
        <is>
          <t>1ª VARA DO TRABALHO DE CRICIÚMA</t>
        </is>
      </c>
      <c r="I1341" s="67" t="inlineStr"/>
      <c r="J1341" s="67" t="inlineStr">
        <is>
          <t>Tarefa</t>
        </is>
      </c>
      <c r="K1341" s="62" t="n">
        <v>46073</v>
      </c>
      <c r="L1341" s="67" t="inlineStr">
        <is>
          <t>Marelize Controladoria</t>
        </is>
      </c>
      <c r="M1341" s="40" t="inlineStr">
        <is>
          <t>Cumprido</t>
        </is>
      </c>
      <c r="N1341" s="62" t="n">
        <v>46073</v>
      </c>
      <c r="O1341" s="67" t="inlineStr">
        <is>
          <t>20/02/2026 - Olhar E-mails.</t>
        </is>
      </c>
    </row>
    <row r="1342">
      <c r="A1342" s="40" t="inlineStr">
        <is>
          <t>5012271-59.2019.4.04.7204</t>
        </is>
      </c>
      <c r="B1342" s="40" t="inlineStr">
        <is>
          <t>Outras</t>
        </is>
      </c>
      <c r="D1342" s="67" t="inlineStr">
        <is>
          <t>Renata Francisco Becker</t>
        </is>
      </c>
      <c r="E1342" s="62" t="n">
        <v>44707</v>
      </c>
      <c r="F1342" s="67" t="inlineStr">
        <is>
          <t>Juízo Federal da 1ª VF de Tubarão</t>
        </is>
      </c>
      <c r="I1342" s="67" t="inlineStr"/>
      <c r="J1342" s="67" t="inlineStr">
        <is>
          <t>Tarefa</t>
        </is>
      </c>
      <c r="K1342" s="62" t="n">
        <v>46073</v>
      </c>
      <c r="L1342" s="67" t="inlineStr">
        <is>
          <t>Julia</t>
        </is>
      </c>
      <c r="M1342" s="40" t="inlineStr">
        <is>
          <t>Cumprido</t>
        </is>
      </c>
      <c r="N1342" s="62" t="n">
        <v>46073</v>
      </c>
      <c r="O1342" s="67" t="inlineStr">
        <is>
          <t>20/02/2026 - Verificar atividades monitoradas</t>
        </is>
      </c>
    </row>
    <row r="1343">
      <c r="A1343" s="40" t="inlineStr">
        <is>
          <t>0000619-23.2024.5.12.0003</t>
        </is>
      </c>
      <c r="B1343" s="40" t="inlineStr">
        <is>
          <t>Outras</t>
        </is>
      </c>
      <c r="D1343" s="67" t="inlineStr">
        <is>
          <t>Renata Francisco Becker</t>
        </is>
      </c>
      <c r="E1343" s="62" t="n">
        <v>45491</v>
      </c>
      <c r="F1343" s="67" t="inlineStr">
        <is>
          <t>Vara do Trabalho</t>
        </is>
      </c>
      <c r="I1343" s="67" t="inlineStr"/>
      <c r="J1343" s="67" t="inlineStr">
        <is>
          <t>Tarefa</t>
        </is>
      </c>
      <c r="K1343" s="62" t="n">
        <v>46073</v>
      </c>
      <c r="L1343" s="67" t="inlineStr">
        <is>
          <t>Luci</t>
        </is>
      </c>
      <c r="M1343" s="40" t="inlineStr">
        <is>
          <t>Cumprido</t>
        </is>
      </c>
      <c r="N1343" s="62" t="n">
        <v>46073</v>
      </c>
      <c r="O1343" s="67" t="inlineStr">
        <is>
          <t>20/02/2026 - Verificar atividades monitoradas</t>
        </is>
      </c>
    </row>
    <row r="1344">
      <c r="A1344" s="40" t="inlineStr">
        <is>
          <t>0001029-18.2023.5.12.0003</t>
        </is>
      </c>
      <c r="B1344" s="40" t="inlineStr">
        <is>
          <t>Outras</t>
        </is>
      </c>
      <c r="D1344" s="67" t="inlineStr">
        <is>
          <t>Renata Francisco Becker</t>
        </is>
      </c>
      <c r="E1344" s="62" t="n">
        <v>45560</v>
      </c>
      <c r="F1344" s="67" t="inlineStr">
        <is>
          <t>1ª VARA DO TRABALHO DE CRICIÚMA</t>
        </is>
      </c>
      <c r="I1344" s="67" t="inlineStr"/>
      <c r="J1344" s="67" t="inlineStr">
        <is>
          <t>Tarefa</t>
        </is>
      </c>
      <c r="K1344" s="62" t="n">
        <v>46073</v>
      </c>
      <c r="L1344" s="67" t="inlineStr">
        <is>
          <t>Julia</t>
        </is>
      </c>
      <c r="M1344" s="40" t="inlineStr">
        <is>
          <t>Cumprido</t>
        </is>
      </c>
      <c r="N1344" s="62" t="n">
        <v>46073</v>
      </c>
      <c r="O1344" s="67" t="inlineStr">
        <is>
          <t>Analisar qual procedimento que é feito para poder implementar um regimento interno, mas tem que verificar também a criação de condominio, CNPJ de condomio, qual procedimento a ser feito e quais documentações para passar para ele. Acredito quq eo cartório do Almada fernandes pode auxiliar quanto a documentação.</t>
        </is>
      </c>
    </row>
    <row r="1345">
      <c r="A1345" s="40" t="inlineStr">
        <is>
          <t>5012162-45.2019.4.04.7204</t>
        </is>
      </c>
      <c r="B1345" s="40" t="inlineStr">
        <is>
          <t>Outras</t>
        </is>
      </c>
      <c r="D1345" s="67" t="inlineStr">
        <is>
          <t>Renata Francisco Becker</t>
        </is>
      </c>
      <c r="E1345" s="62" t="n">
        <v>44706</v>
      </c>
      <c r="F1345" s="67" t="inlineStr">
        <is>
          <t>Juízo Substituto da 1ª VF de Tubarão</t>
        </is>
      </c>
      <c r="I1345" s="67" t="inlineStr">
        <is>
          <t>50000244920268240175</t>
        </is>
      </c>
      <c r="J1345" s="67" t="inlineStr">
        <is>
          <t>Tarefa</t>
        </is>
      </c>
      <c r="K1345" s="62" t="n">
        <v>46073</v>
      </c>
      <c r="L1345" s="67" t="inlineStr">
        <is>
          <t xml:space="preserve">Alexia </t>
        </is>
      </c>
      <c r="M1345" s="40" t="inlineStr">
        <is>
          <t>Cumprido</t>
        </is>
      </c>
      <c r="N1345" s="62" t="n">
        <v>46073</v>
      </c>
      <c r="O1345" s="67" t="inlineStr">
        <is>
          <t>JUNTAR PROCURAÇÃO URGENTE</t>
        </is>
      </c>
    </row>
    <row r="1346">
      <c r="A1346" s="40" t="n"/>
      <c r="B1346" s="40" t="inlineStr">
        <is>
          <t>Outras</t>
        </is>
      </c>
      <c r="D1346" s="67" t="inlineStr">
        <is>
          <t>Renata Francisco Becker</t>
        </is>
      </c>
      <c r="E1346" s="62" t="n">
        <v>45491</v>
      </c>
      <c r="I1346" s="67" t="inlineStr">
        <is>
          <t>5000969-70.2025.8.24.0175</t>
        </is>
      </c>
      <c r="J1346" s="67" t="inlineStr">
        <is>
          <t>Tarefa</t>
        </is>
      </c>
      <c r="K1346" s="62" t="n">
        <v>46073</v>
      </c>
      <c r="L1346" s="67" t="inlineStr">
        <is>
          <t>Pedro Victor</t>
        </is>
      </c>
      <c r="M1346" s="40" t="inlineStr">
        <is>
          <t>Cumprido</t>
        </is>
      </c>
      <c r="N1346" s="62" t="n">
        <v>46073</v>
      </c>
      <c r="O1346" s="67" t="inlineStr">
        <is>
          <t xml:space="preserve">Preparar cliente para audiencia. </t>
        </is>
      </c>
    </row>
    <row r="1347">
      <c r="A1347" s="40" t="inlineStr">
        <is>
          <t>0000242-27.2023.5.12.0055</t>
        </is>
      </c>
      <c r="B1347" s="40" t="inlineStr">
        <is>
          <t>Outras</t>
        </is>
      </c>
      <c r="D1347" s="67" t="inlineStr">
        <is>
          <t>Renata Francisco Becker</t>
        </is>
      </c>
      <c r="E1347" s="62" t="n">
        <v>45033</v>
      </c>
      <c r="F1347" s="67" t="inlineStr">
        <is>
          <t>CEJUSC-JT/Criciuma</t>
        </is>
      </c>
      <c r="I1347" s="67" t="inlineStr">
        <is>
          <t>0001725-11.2025.5.12.0027</t>
        </is>
      </c>
      <c r="J1347" s="67" t="inlineStr">
        <is>
          <t>Tarefa</t>
        </is>
      </c>
      <c r="K1347" s="62" t="n">
        <v>46073</v>
      </c>
      <c r="L1347" s="67" t="inlineStr">
        <is>
          <t>Luci</t>
        </is>
      </c>
      <c r="M1347" s="40" t="inlineStr">
        <is>
          <t>Cumprido</t>
        </is>
      </c>
      <c r="N1347" s="62" t="n">
        <v>46073</v>
      </c>
      <c r="O1347" s="67" t="inlineStr">
        <is>
          <t>Preparar cliente para audiencia.</t>
        </is>
      </c>
    </row>
    <row r="1348">
      <c r="A1348" s="40" t="n"/>
      <c r="B1348" s="40" t="inlineStr">
        <is>
          <t>Outras</t>
        </is>
      </c>
      <c r="D1348" s="67" t="inlineStr">
        <is>
          <t>Renata Francisco Becker</t>
        </is>
      </c>
      <c r="E1348" s="62" t="n">
        <v>45560</v>
      </c>
      <c r="I1348" s="67" t="inlineStr"/>
      <c r="J1348" s="67" t="inlineStr">
        <is>
          <t>Tarefa</t>
        </is>
      </c>
      <c r="K1348" s="62" t="n">
        <v>46073</v>
      </c>
      <c r="L1348" s="67" t="inlineStr">
        <is>
          <t>Luci</t>
        </is>
      </c>
      <c r="M1348" s="40" t="inlineStr">
        <is>
          <t>Cumprido</t>
        </is>
      </c>
      <c r="N1348" s="62" t="n">
        <v>46073</v>
      </c>
      <c r="O1348" s="67" t="inlineStr">
        <is>
          <t>Protocolo</t>
        </is>
      </c>
    </row>
    <row r="1349">
      <c r="A1349" s="40" t="n"/>
      <c r="B1349" s="40" t="inlineStr">
        <is>
          <t>Outras</t>
        </is>
      </c>
      <c r="D1349" s="67" t="inlineStr">
        <is>
          <t>Pedro Victor</t>
        </is>
      </c>
      <c r="E1349" s="62" t="n">
        <v>45558</v>
      </c>
      <c r="I1349" s="67" t="inlineStr">
        <is>
          <t>0000211-70.2026.5.12.0000</t>
        </is>
      </c>
      <c r="J1349" s="67" t="inlineStr">
        <is>
          <t>Tarefa</t>
        </is>
      </c>
      <c r="K1349" s="62" t="n">
        <v>46073</v>
      </c>
      <c r="L1349" s="67" t="inlineStr">
        <is>
          <t>Luci</t>
        </is>
      </c>
      <c r="M1349" s="40" t="inlineStr">
        <is>
          <t>Cumprido</t>
        </is>
      </c>
      <c r="N1349" s="62" t="n">
        <v>46073</v>
      </c>
      <c r="O1349" s="67" t="inlineStr">
        <is>
          <t>Protocolo</t>
        </is>
      </c>
    </row>
    <row r="1350">
      <c r="A1350" s="40" t="inlineStr">
        <is>
          <t>50046258620248240040</t>
        </is>
      </c>
      <c r="B1350" s="40" t="inlineStr">
        <is>
          <t>Outras</t>
        </is>
      </c>
      <c r="D1350" s="67" t="inlineStr">
        <is>
          <t>Renata Francisco Becker</t>
        </is>
      </c>
      <c r="E1350" s="62" t="n">
        <v>45509</v>
      </c>
      <c r="F1350" s="67" t="inlineStr"/>
      <c r="I1350" s="67" t="inlineStr">
        <is>
          <t>5004796-79.2024.8.24.0028</t>
        </is>
      </c>
      <c r="J1350" s="67" t="inlineStr">
        <is>
          <t>Tarefa</t>
        </is>
      </c>
      <c r="K1350" s="62" t="n">
        <v>46073</v>
      </c>
      <c r="L1350" s="67" t="inlineStr">
        <is>
          <t xml:space="preserve">Alexia </t>
        </is>
      </c>
      <c r="M1350" s="40" t="inlineStr">
        <is>
          <t>Cumprido</t>
        </is>
      </c>
      <c r="N1350" s="62" t="n">
        <v>46073</v>
      </c>
      <c r="O1350" s="67" t="inlineStr">
        <is>
          <t>Protocolo</t>
        </is>
      </c>
    </row>
    <row r="1351">
      <c r="A1351" s="40" t="n"/>
      <c r="B1351" s="40" t="inlineStr">
        <is>
          <t>Outras</t>
        </is>
      </c>
      <c r="D1351" s="67" t="inlineStr">
        <is>
          <t>Renata Francisco Becker</t>
        </is>
      </c>
      <c r="E1351" s="62" t="n">
        <v>45502</v>
      </c>
      <c r="I1351" s="67" t="inlineStr"/>
      <c r="J1351" s="67" t="inlineStr">
        <is>
          <t>Tarefa</t>
        </is>
      </c>
      <c r="K1351" s="62" t="n">
        <v>46073</v>
      </c>
      <c r="L1351" s="67" t="inlineStr">
        <is>
          <t xml:space="preserve">Lucas </t>
        </is>
      </c>
      <c r="M1351" s="40" t="inlineStr">
        <is>
          <t>Cumprido</t>
        </is>
      </c>
      <c r="N1351" s="62" t="n">
        <v>46073</v>
      </c>
      <c r="O1351" s="67" t="inlineStr">
        <is>
          <t xml:space="preserve">RETORNO CLIENTE - Sobre a multa do frete mínimo, e-mail encaminhado para Lucas. 
</t>
        </is>
      </c>
    </row>
    <row r="1352">
      <c r="A1352" s="40" t="inlineStr">
        <is>
          <t>0000450-61.2016.5.12.0053</t>
        </is>
      </c>
      <c r="B1352" s="40" t="inlineStr">
        <is>
          <t>Outras</t>
        </is>
      </c>
      <c r="D1352" s="67" t="inlineStr">
        <is>
          <t>Renata Francisco Becker</t>
        </is>
      </c>
      <c r="E1352" s="62" t="n">
        <v>44973</v>
      </c>
      <c r="F1352" s="67" t="inlineStr">
        <is>
          <t>2ª VARA DO TRABALHO DE CRICIÚMA</t>
        </is>
      </c>
      <c r="I1352" s="67" t="inlineStr">
        <is>
          <t>5040768-85.2025.4.04.7200</t>
        </is>
      </c>
      <c r="J1352" s="67" t="inlineStr">
        <is>
          <t>Tarefa</t>
        </is>
      </c>
      <c r="K1352" s="62" t="n">
        <v>46073</v>
      </c>
      <c r="L1352" s="67" t="inlineStr">
        <is>
          <t>Pedro Victor</t>
        </is>
      </c>
      <c r="M1352" s="40" t="inlineStr">
        <is>
          <t>Cumprido</t>
        </is>
      </c>
      <c r="N1352" s="62" t="n">
        <v>46073</v>
      </c>
      <c r="O1352" s="67" t="inlineStr">
        <is>
          <t>Revisão</t>
        </is>
      </c>
    </row>
    <row r="1353">
      <c r="A1353" s="40" t="n"/>
      <c r="B1353" s="40" t="inlineStr">
        <is>
          <t>Outras</t>
        </is>
      </c>
      <c r="D1353" s="67" t="inlineStr">
        <is>
          <t>Pedro Victor</t>
        </is>
      </c>
      <c r="E1353" s="62" t="n">
        <v>45554</v>
      </c>
      <c r="I1353" s="67" t="inlineStr">
        <is>
          <t>5003082-74.2025.8.24.0020</t>
        </is>
      </c>
      <c r="J1353" s="67" t="inlineStr">
        <is>
          <t>Tarefa</t>
        </is>
      </c>
      <c r="K1353" s="62" t="n">
        <v>46073</v>
      </c>
      <c r="L1353" s="67" t="inlineStr">
        <is>
          <t>Pedro Victor</t>
        </is>
      </c>
      <c r="M1353" s="40" t="inlineStr">
        <is>
          <t>Cumprido</t>
        </is>
      </c>
      <c r="N1353" s="62" t="n">
        <v>46073</v>
      </c>
      <c r="O1353" s="67" t="inlineStr">
        <is>
          <t>Revisão</t>
        </is>
      </c>
    </row>
    <row r="1354">
      <c r="A1354" s="40" t="inlineStr">
        <is>
          <t>0000613-46.2021.5.12.0027</t>
        </is>
      </c>
      <c r="B1354" s="40" t="inlineStr">
        <is>
          <t>Outras</t>
        </is>
      </c>
      <c r="D1354" s="67" t="inlineStr">
        <is>
          <t>Renata Francisco Becker</t>
        </is>
      </c>
      <c r="E1354" s="62" t="n">
        <v>44701</v>
      </c>
      <c r="F1354" s="67" t="inlineStr">
        <is>
          <t>2ª Vara Do Trabalho De Criciuma</t>
        </is>
      </c>
      <c r="I1354" s="67" t="inlineStr"/>
      <c r="J1354" s="67" t="inlineStr">
        <is>
          <t>Evento</t>
        </is>
      </c>
      <c r="K1354" s="62" t="n">
        <v>46073</v>
      </c>
      <c r="L1354" s="67" t="inlineStr">
        <is>
          <t xml:space="preserve">Lucas </t>
        </is>
      </c>
      <c r="M1354" s="40" t="inlineStr">
        <is>
          <t>Cumprido</t>
        </is>
      </c>
      <c r="N1354" s="62" t="n">
        <v>46073</v>
      </c>
      <c r="O1354" s="67" t="inlineStr">
        <is>
          <t>Reunião Fran Perdoná</t>
        </is>
      </c>
    </row>
    <row r="1355">
      <c r="A1355" s="40" t="inlineStr">
        <is>
          <t>5003764-05.2024.8.24.0007</t>
        </is>
      </c>
      <c r="B1355" s="40" t="inlineStr">
        <is>
          <t>Outras</t>
        </is>
      </c>
      <c r="D1355" s="67" t="inlineStr">
        <is>
          <t>Renata Francisco Becker</t>
        </is>
      </c>
      <c r="E1355" s="62" t="n">
        <v>45446</v>
      </c>
      <c r="F1355" s="67" t="inlineStr">
        <is>
          <t>Juízo da Unidade Judiciária de Cooperação da Comarca de Biguaçu</t>
        </is>
      </c>
      <c r="I1355" s="67" t="inlineStr"/>
      <c r="J1355" s="67" t="inlineStr">
        <is>
          <t>Evento</t>
        </is>
      </c>
      <c r="K1355" s="62" t="n">
        <v>46073</v>
      </c>
      <c r="L1355" s="67" t="inlineStr">
        <is>
          <t>Renata Francisco Becker</t>
        </is>
      </c>
      <c r="M1355" s="40" t="inlineStr">
        <is>
          <t>Cumprido</t>
        </is>
      </c>
      <c r="N1355" s="62" t="n">
        <v>46073</v>
      </c>
      <c r="O1355" s="67" t="inlineStr">
        <is>
          <t>Reunião Samanta - Ramos</t>
        </is>
      </c>
    </row>
    <row r="1356">
      <c r="A1356" s="40" t="inlineStr">
        <is>
          <t>5012172-89.2019.4.04.7204</t>
        </is>
      </c>
      <c r="B1356" s="40" t="inlineStr">
        <is>
          <t>Outras</t>
        </is>
      </c>
      <c r="D1356" s="67" t="inlineStr">
        <is>
          <t>Renata Francisco Becker</t>
        </is>
      </c>
      <c r="E1356" s="62" t="n">
        <v>44706</v>
      </c>
      <c r="F1356" s="67" t="inlineStr">
        <is>
          <t>Juízo Substituto da 1ª VF de Tubarão</t>
        </is>
      </c>
      <c r="I1356" s="67" t="inlineStr">
        <is>
          <t>50380204920254040000</t>
        </is>
      </c>
      <c r="J1356" s="67" t="inlineStr">
        <is>
          <t>Evento</t>
        </is>
      </c>
      <c r="K1356" s="62" t="n">
        <v>46073</v>
      </c>
      <c r="L1356" s="67" t="inlineStr">
        <is>
          <t>Jessica</t>
        </is>
      </c>
      <c r="M1356" s="40" t="inlineStr">
        <is>
          <t>Cumprido</t>
        </is>
      </c>
      <c r="N1356" s="62" t="n">
        <v>46073</v>
      </c>
      <c r="O1356" s="67" t="inlineStr">
        <is>
          <t>Sessão de julgamento Agravo de Inst - MMC x União Fazenda Nacional</t>
        </is>
      </c>
    </row>
    <row r="1357">
      <c r="A1357" s="40" t="inlineStr">
        <is>
          <t>5012165-97.2019.4.04.7204</t>
        </is>
      </c>
      <c r="B1357" s="40" t="inlineStr">
        <is>
          <t>Outras</t>
        </is>
      </c>
      <c r="D1357" s="67" t="inlineStr">
        <is>
          <t>Renata Francisco Becker</t>
        </is>
      </c>
      <c r="E1357" s="62" t="n">
        <v>44802</v>
      </c>
      <c r="F1357" s="67" t="inlineStr">
        <is>
          <t>Juízo Substituto da 1ª VF de Tubarão</t>
        </is>
      </c>
      <c r="I1357" s="67" t="inlineStr"/>
      <c r="J1357" s="67" t="inlineStr">
        <is>
          <t>Prazo</t>
        </is>
      </c>
      <c r="K1357" s="62" t="n">
        <v>46076</v>
      </c>
      <c r="L1357" s="67" t="inlineStr">
        <is>
          <t xml:space="preserve">Lucas </t>
        </is>
      </c>
      <c r="M1357" s="40" t="inlineStr">
        <is>
          <t>Cumprido</t>
        </is>
      </c>
      <c r="N1357" s="62" t="n">
        <v>46076</v>
      </c>
      <c r="O1357" s="67" t="inlineStr">
        <is>
          <t>Auditoria Trabalhista MMC</t>
        </is>
      </c>
    </row>
    <row r="1358">
      <c r="A1358" s="40" t="inlineStr">
        <is>
          <t>5006346-19.2018.4.04.7204</t>
        </is>
      </c>
      <c r="B1358" s="40" t="inlineStr">
        <is>
          <t>Outras</t>
        </is>
      </c>
      <c r="D1358" s="67" t="inlineStr">
        <is>
          <t>Renata Francisco Becker</t>
        </is>
      </c>
      <c r="E1358" s="62" t="n">
        <v>44719</v>
      </c>
      <c r="F1358" s="67" t="inlineStr">
        <is>
          <t>Juízo Federal da 4ª VF de Criciúma</t>
        </is>
      </c>
      <c r="I1358" s="67" t="inlineStr"/>
      <c r="J1358" s="67" t="inlineStr">
        <is>
          <t>Prazo</t>
        </is>
      </c>
      <c r="K1358" s="62" t="n">
        <v>46076</v>
      </c>
      <c r="L1358" s="67" t="inlineStr">
        <is>
          <t xml:space="preserve">Lucas </t>
        </is>
      </c>
      <c r="M1358" s="40" t="inlineStr">
        <is>
          <t>Cumprido</t>
        </is>
      </c>
      <c r="N1358" s="62" t="n">
        <v>46076</v>
      </c>
      <c r="O1358" s="67" t="inlineStr">
        <is>
          <t>Auditoria Trabalhista Raríssima</t>
        </is>
      </c>
    </row>
    <row r="1359">
      <c r="A1359" s="40" t="n"/>
      <c r="B1359" s="40" t="inlineStr">
        <is>
          <t>Outras</t>
        </is>
      </c>
      <c r="D1359" s="67" t="inlineStr">
        <is>
          <t>Pedro Victor</t>
        </is>
      </c>
      <c r="E1359" s="62" t="n">
        <v>45509</v>
      </c>
      <c r="I1359" s="67" t="inlineStr">
        <is>
          <t>5006216-29.2018.4.04.7204</t>
        </is>
      </c>
      <c r="J1359" s="67" t="inlineStr">
        <is>
          <t>Prazo</t>
        </is>
      </c>
      <c r="K1359" s="62" t="n">
        <v>46076</v>
      </c>
      <c r="L1359" s="67" t="inlineStr">
        <is>
          <t>Pedro Victor</t>
        </is>
      </c>
      <c r="M1359" s="40" t="inlineStr">
        <is>
          <t>Cumprido</t>
        </is>
      </c>
      <c r="N1359" s="62" t="n">
        <v>46076</v>
      </c>
      <c r="O1359" s="67" t="inlineStr">
        <is>
          <t xml:space="preserve">Ciencia da decisão Agravo </t>
        </is>
      </c>
    </row>
    <row r="1360">
      <c r="A1360" s="40" t="inlineStr">
        <is>
          <t>0300191-20.2015.8.24.0028</t>
        </is>
      </c>
      <c r="B1360" s="40" t="inlineStr">
        <is>
          <t>Outras</t>
        </is>
      </c>
      <c r="D1360" s="67" t="inlineStr">
        <is>
          <t>Renata Francisco Becker</t>
        </is>
      </c>
      <c r="E1360" s="62" t="n">
        <v>45098</v>
      </c>
      <c r="F1360" s="67" t="inlineStr"/>
      <c r="I1360" s="67" t="inlineStr"/>
      <c r="J1360" s="67" t="inlineStr">
        <is>
          <t>Prazo</t>
        </is>
      </c>
      <c r="K1360" s="62" t="n">
        <v>46076</v>
      </c>
      <c r="L1360" s="67" t="inlineStr">
        <is>
          <t xml:space="preserve">Lucas </t>
        </is>
      </c>
      <c r="M1360" s="40" t="inlineStr">
        <is>
          <t>Cumprido</t>
        </is>
      </c>
      <c r="N1360" s="62" t="n">
        <v>46076</v>
      </c>
      <c r="O1360" s="67" t="inlineStr">
        <is>
          <t>Defesa de Multa (Evandro Transportes)</t>
        </is>
      </c>
    </row>
    <row r="1361">
      <c r="A1361" s="40" t="inlineStr">
        <is>
          <t>5003507-19.2021.8.24.0028</t>
        </is>
      </c>
      <c r="B1361" s="40" t="inlineStr">
        <is>
          <t>Outras</t>
        </is>
      </c>
      <c r="D1361" s="67" t="inlineStr">
        <is>
          <t>Renata Francisco Becker</t>
        </is>
      </c>
      <c r="E1361" s="62" t="n">
        <v>44701</v>
      </c>
      <c r="F1361" s="67" t="inlineStr">
        <is>
          <t>Juizo Da 1ª Vara Da Comarca De Icara</t>
        </is>
      </c>
      <c r="I1361" s="67" t="inlineStr"/>
      <c r="J1361" s="67" t="inlineStr">
        <is>
          <t>Prazo</t>
        </is>
      </c>
      <c r="K1361" s="62" t="n">
        <v>46076</v>
      </c>
      <c r="L1361" s="67" t="inlineStr">
        <is>
          <t xml:space="preserve">Lucas </t>
        </is>
      </c>
      <c r="M1361" s="40" t="inlineStr">
        <is>
          <t>Cumprido</t>
        </is>
      </c>
      <c r="N1361" s="62" t="n">
        <v>46076</v>
      </c>
      <c r="O1361" s="67" t="inlineStr">
        <is>
          <t>Defesa de Multa (Evandro Transportes)</t>
        </is>
      </c>
    </row>
    <row r="1362">
      <c r="A1362" s="40" t="n"/>
      <c r="B1362" s="40" t="inlineStr">
        <is>
          <t>Outras</t>
        </is>
      </c>
      <c r="D1362" s="67" t="inlineStr">
        <is>
          <t>Renata Francisco Becker</t>
        </is>
      </c>
      <c r="E1362" s="62" t="n">
        <v>45538</v>
      </c>
      <c r="I1362" s="67" t="inlineStr"/>
      <c r="J1362" s="67" t="inlineStr">
        <is>
          <t>Prazo</t>
        </is>
      </c>
      <c r="K1362" s="62" t="n">
        <v>46076</v>
      </c>
      <c r="L1362" s="67" t="inlineStr">
        <is>
          <t xml:space="preserve">Lucas </t>
        </is>
      </c>
      <c r="M1362" s="40" t="inlineStr">
        <is>
          <t>Cumprido</t>
        </is>
      </c>
      <c r="N1362" s="62" t="n">
        <v>46076</v>
      </c>
      <c r="O1362" s="67" t="inlineStr">
        <is>
          <t>Defesa de Multa (Evandro Transportes)</t>
        </is>
      </c>
    </row>
    <row r="1363">
      <c r="A1363" s="40" t="n"/>
      <c r="B1363" s="40" t="inlineStr">
        <is>
          <t>Outras</t>
        </is>
      </c>
      <c r="D1363" s="67" t="inlineStr">
        <is>
          <t>Renata Francisco Becker</t>
        </is>
      </c>
      <c r="E1363" s="62" t="n">
        <v>45533</v>
      </c>
      <c r="I1363" s="67" t="inlineStr">
        <is>
          <t>0001269-74.2025.5.12.0055</t>
        </is>
      </c>
      <c r="J1363" s="67" t="inlineStr">
        <is>
          <t>Prazo</t>
        </is>
      </c>
      <c r="K1363" s="62" t="n">
        <v>46076</v>
      </c>
      <c r="L1363" s="67" t="inlineStr">
        <is>
          <t>Luci</t>
        </is>
      </c>
      <c r="M1363" s="40" t="inlineStr">
        <is>
          <t>Cumprido</t>
        </is>
      </c>
      <c r="N1363" s="62" t="n">
        <v>46076</v>
      </c>
      <c r="O1363" s="67" t="inlineStr">
        <is>
          <t xml:space="preserve">Despacho de audiencia </t>
        </is>
      </c>
    </row>
    <row r="1364">
      <c r="A1364" s="40" t="inlineStr">
        <is>
          <t>5011430-47.2024.8.24.0075</t>
        </is>
      </c>
      <c r="B1364" s="40" t="inlineStr">
        <is>
          <t>Outras</t>
        </is>
      </c>
      <c r="D1364" s="67" t="inlineStr">
        <is>
          <t>Renata Francisco Becker</t>
        </is>
      </c>
      <c r="E1364" s="62" t="n">
        <v>45527</v>
      </c>
      <c r="F1364" s="67" t="inlineStr">
        <is>
          <t>Juízo da 1ª Vara Cível da Comarca de Tubarão</t>
        </is>
      </c>
      <c r="I1364" s="67" t="inlineStr">
        <is>
          <t>0001610-62.2025.5.12.0003</t>
        </is>
      </c>
      <c r="J1364" s="67" t="inlineStr">
        <is>
          <t>Prazo</t>
        </is>
      </c>
      <c r="K1364" s="62" t="n">
        <v>46076</v>
      </c>
      <c r="L1364" s="67" t="inlineStr">
        <is>
          <t>Luci</t>
        </is>
      </c>
      <c r="M1364" s="40" t="inlineStr">
        <is>
          <t>Cumprido</t>
        </is>
      </c>
      <c r="N1364" s="62" t="n">
        <v>46076</v>
      </c>
      <c r="O1364" s="67" t="inlineStr">
        <is>
          <t>Embargos de declaração</t>
        </is>
      </c>
    </row>
    <row r="1365">
      <c r="A1365" s="40" t="n"/>
      <c r="B1365" s="40" t="inlineStr">
        <is>
          <t>Outras</t>
        </is>
      </c>
      <c r="D1365" s="67" t="inlineStr">
        <is>
          <t>Renata Francisco Becker</t>
        </is>
      </c>
      <c r="E1365" s="62" t="n">
        <v>45541</v>
      </c>
      <c r="I1365" s="67" t="inlineStr"/>
      <c r="J1365" s="67" t="inlineStr">
        <is>
          <t>Prazo</t>
        </is>
      </c>
      <c r="K1365" s="62" t="n">
        <v>46076</v>
      </c>
      <c r="L1365" s="67" t="inlineStr">
        <is>
          <t>Jessica</t>
        </is>
      </c>
      <c r="M1365" s="40" t="inlineStr">
        <is>
          <t>Cumprido</t>
        </is>
      </c>
      <c r="N1365" s="62" t="n">
        <v>46076</v>
      </c>
      <c r="O1365" s="67" t="inlineStr">
        <is>
          <t>Notificação extrajudicial Registro de Marcas (Colombo)</t>
        </is>
      </c>
    </row>
    <row r="1366">
      <c r="A1366" s="40" t="n"/>
      <c r="B1366" s="40" t="inlineStr">
        <is>
          <t>Outras</t>
        </is>
      </c>
      <c r="D1366" s="67" t="inlineStr">
        <is>
          <t>Renata Francisco Becker</t>
        </is>
      </c>
      <c r="E1366" s="62" t="n">
        <v>45498</v>
      </c>
      <c r="I1366" s="67" t="inlineStr">
        <is>
          <t>5002089-79.2025.8.24.0004</t>
        </is>
      </c>
      <c r="J1366" s="67" t="inlineStr">
        <is>
          <t>Prazo</t>
        </is>
      </c>
      <c r="K1366" s="62" t="n">
        <v>46076</v>
      </c>
      <c r="L1366" s="67" t="inlineStr">
        <is>
          <t xml:space="preserve">Alexia </t>
        </is>
      </c>
      <c r="M1366" s="40" t="inlineStr">
        <is>
          <t>Cumprido</t>
        </is>
      </c>
      <c r="N1366" s="62" t="n">
        <v>46076</v>
      </c>
      <c r="O1366" s="67" t="inlineStr">
        <is>
          <t xml:space="preserve">Prazo </t>
        </is>
      </c>
    </row>
    <row r="1367">
      <c r="A1367" s="40" t="n"/>
      <c r="B1367" s="40" t="inlineStr">
        <is>
          <t>Outras</t>
        </is>
      </c>
      <c r="D1367" s="67" t="inlineStr">
        <is>
          <t>Pedro Victor</t>
        </is>
      </c>
      <c r="E1367" s="62" t="n">
        <v>45499</v>
      </c>
      <c r="I1367" s="67" t="inlineStr">
        <is>
          <t>5001164-58.2020.8.24.0166</t>
        </is>
      </c>
      <c r="J1367" s="67" t="inlineStr">
        <is>
          <t>Prazo</t>
        </is>
      </c>
      <c r="K1367" s="62" t="n">
        <v>46076</v>
      </c>
      <c r="L1367" s="67" t="inlineStr">
        <is>
          <t xml:space="preserve">Alexia </t>
        </is>
      </c>
      <c r="M1367" s="40" t="inlineStr">
        <is>
          <t>Cumprido</t>
        </is>
      </c>
      <c r="N1367" s="62" t="n">
        <v>46076</v>
      </c>
      <c r="O1367" s="67" t="inlineStr">
        <is>
          <t>Prazo</t>
        </is>
      </c>
    </row>
    <row r="1368">
      <c r="A1368" s="40" t="n"/>
      <c r="B1368" s="40" t="inlineStr">
        <is>
          <t>Outras</t>
        </is>
      </c>
      <c r="D1368" s="67" t="inlineStr">
        <is>
          <t>Pedro Victor</t>
        </is>
      </c>
      <c r="E1368" s="62" t="n">
        <v>45432</v>
      </c>
      <c r="I1368" s="67" t="inlineStr">
        <is>
          <t>5006478-59.2025.8.24.0020</t>
        </is>
      </c>
      <c r="J1368" s="67" t="inlineStr">
        <is>
          <t>Prazo</t>
        </is>
      </c>
      <c r="K1368" s="62" t="n">
        <v>46076</v>
      </c>
      <c r="L1368" s="67" t="inlineStr">
        <is>
          <t xml:space="preserve">Alexia </t>
        </is>
      </c>
      <c r="M1368" s="40" t="inlineStr">
        <is>
          <t>Cumprido</t>
        </is>
      </c>
      <c r="N1368" s="62" t="n">
        <v>46076</v>
      </c>
      <c r="O1368" s="67" t="inlineStr">
        <is>
          <t>Prazo</t>
        </is>
      </c>
    </row>
    <row r="1369">
      <c r="A1369" s="40" t="n"/>
      <c r="B1369" s="40" t="inlineStr">
        <is>
          <t>Outras</t>
        </is>
      </c>
      <c r="D1369" s="67" t="inlineStr">
        <is>
          <t>Renata Francisco Becker</t>
        </is>
      </c>
      <c r="E1369" s="62" t="n">
        <v>45541</v>
      </c>
      <c r="I1369" s="67" t="inlineStr"/>
      <c r="J1369" s="67" t="inlineStr">
        <is>
          <t>Tarefa</t>
        </is>
      </c>
      <c r="K1369" s="62" t="n">
        <v>46076</v>
      </c>
      <c r="L1369" s="67" t="inlineStr">
        <is>
          <t>Jessica</t>
        </is>
      </c>
      <c r="M1369" s="40" t="inlineStr">
        <is>
          <t>Cumprido</t>
        </is>
      </c>
      <c r="N1369" s="62" t="n">
        <v>46076</v>
      </c>
      <c r="O1369" s="67" t="inlineStr">
        <is>
          <t xml:space="preserve">ACOMPANHAR ANDAMENTO </t>
        </is>
      </c>
    </row>
    <row r="1370">
      <c r="A1370" s="40" t="inlineStr">
        <is>
          <t>0002240-05.2022.8.16.0184</t>
        </is>
      </c>
      <c r="B1370" s="40" t="inlineStr">
        <is>
          <t>Outras</t>
        </is>
      </c>
      <c r="D1370" s="67" t="inlineStr">
        <is>
          <t>Renata Francisco Becker</t>
        </is>
      </c>
      <c r="E1370" s="62" t="n">
        <v>44754</v>
      </c>
      <c r="F1370" s="67" t="inlineStr">
        <is>
          <t>1ª Vara Descentralizada de Santa Felicidade - Juizado Especial Cível de Curitiba</t>
        </is>
      </c>
      <c r="I1370" s="67" t="inlineStr"/>
      <c r="J1370" s="67" t="inlineStr">
        <is>
          <t>Tarefa</t>
        </is>
      </c>
      <c r="K1370" s="62" t="n">
        <v>46076</v>
      </c>
      <c r="L1370" s="67" t="inlineStr">
        <is>
          <t xml:space="preserve">Lucas </t>
        </is>
      </c>
      <c r="M1370" s="40" t="inlineStr">
        <is>
          <t>Cumprido</t>
        </is>
      </c>
      <c r="N1370" s="62" t="n">
        <v>46076</v>
      </c>
      <c r="O1370" s="67" t="inlineStr">
        <is>
          <t>Elaboração (Confecção de documetos)</t>
        </is>
      </c>
    </row>
    <row r="1371">
      <c r="A1371" s="40" t="n"/>
      <c r="B1371" s="40" t="inlineStr">
        <is>
          <t>Outras</t>
        </is>
      </c>
      <c r="D1371" s="67" t="inlineStr">
        <is>
          <t>Renata Francisco Becker</t>
        </is>
      </c>
      <c r="E1371" s="62" t="n">
        <v>45485</v>
      </c>
      <c r="I1371" s="67" t="inlineStr"/>
      <c r="J1371" s="67" t="inlineStr">
        <is>
          <t>Tarefa</t>
        </is>
      </c>
      <c r="K1371" s="62" t="n">
        <v>46076</v>
      </c>
      <c r="L1371" s="67" t="inlineStr">
        <is>
          <t xml:space="preserve">Lucas </t>
        </is>
      </c>
      <c r="M1371" s="40" t="inlineStr">
        <is>
          <t>Cumprido</t>
        </is>
      </c>
      <c r="N1371" s="62" t="n">
        <v>46076</v>
      </c>
      <c r="O1371" s="67" t="inlineStr">
        <is>
          <t>Elaboração (Confecção de documetos)</t>
        </is>
      </c>
    </row>
    <row r="1372">
      <c r="A1372" s="40" t="inlineStr">
        <is>
          <t>00008713220165120027</t>
        </is>
      </c>
      <c r="B1372" s="40" t="inlineStr">
        <is>
          <t>Outras</t>
        </is>
      </c>
      <c r="D1372" s="67" t="inlineStr">
        <is>
          <t>Pedro Victor</t>
        </is>
      </c>
      <c r="E1372" s="62" t="n">
        <v>44901</v>
      </c>
      <c r="F1372" s="67" t="inlineStr">
        <is>
          <t>2ª VARA DO TRABALHO DE CRICIÚMA</t>
        </is>
      </c>
      <c r="I1372" s="67" t="inlineStr">
        <is>
          <t>5224773-07.2025.8.21.0001</t>
        </is>
      </c>
      <c r="J1372" s="67" t="inlineStr">
        <is>
          <t>Tarefa</t>
        </is>
      </c>
      <c r="K1372" s="62" t="n">
        <v>46076</v>
      </c>
      <c r="L1372" s="67" t="inlineStr">
        <is>
          <t>Jessica</t>
        </is>
      </c>
      <c r="M1372" s="40" t="inlineStr">
        <is>
          <t>Cumprido</t>
        </is>
      </c>
      <c r="N1372" s="62" t="n">
        <v>46076</v>
      </c>
      <c r="O1372" s="67" t="inlineStr">
        <is>
          <t xml:space="preserve">Protocolo </t>
        </is>
      </c>
    </row>
    <row r="1373">
      <c r="A1373" s="40" t="n"/>
      <c r="B1373" s="40" t="inlineStr">
        <is>
          <t>Outras</t>
        </is>
      </c>
      <c r="D1373" s="67" t="inlineStr">
        <is>
          <t>Pedro Victor</t>
        </is>
      </c>
      <c r="E1373" s="62" t="n">
        <v>45540</v>
      </c>
      <c r="I1373" s="67" t="inlineStr">
        <is>
          <t>5025714-65.2023.8.24.0020</t>
        </is>
      </c>
      <c r="J1373" s="67" t="inlineStr">
        <is>
          <t>Tarefa</t>
        </is>
      </c>
      <c r="K1373" s="62" t="n">
        <v>46076</v>
      </c>
      <c r="L1373" s="67" t="inlineStr">
        <is>
          <t>Marelize Controladoria</t>
        </is>
      </c>
      <c r="M1373" s="40" t="inlineStr">
        <is>
          <t>Cumprido</t>
        </is>
      </c>
      <c r="N1373" s="62" t="n">
        <v>46076</v>
      </c>
      <c r="O1373" s="67" t="inlineStr">
        <is>
          <t xml:space="preserve">Protocolo </t>
        </is>
      </c>
    </row>
    <row r="1374">
      <c r="A1374" s="40" t="inlineStr">
        <is>
          <t>5003604-58.2024.8.24.0078</t>
        </is>
      </c>
      <c r="B1374" s="40" t="inlineStr">
        <is>
          <t>Outras</t>
        </is>
      </c>
      <c r="D1374" s="67" t="inlineStr">
        <is>
          <t>Renata Francisco Becker</t>
        </is>
      </c>
      <c r="E1374" s="62" t="n">
        <v>45530</v>
      </c>
      <c r="F1374" s="67" t="inlineStr"/>
      <c r="I1374" s="67" t="inlineStr">
        <is>
          <t>50155731620258240020</t>
        </is>
      </c>
      <c r="J1374" s="67" t="inlineStr">
        <is>
          <t>Tarefa</t>
        </is>
      </c>
      <c r="K1374" s="62" t="n">
        <v>46076</v>
      </c>
      <c r="L1374" s="67" t="inlineStr">
        <is>
          <t xml:space="preserve">Alexia </t>
        </is>
      </c>
      <c r="M1374" s="40" t="inlineStr">
        <is>
          <t>Cumprido</t>
        </is>
      </c>
      <c r="N1374" s="62" t="n">
        <v>46076</v>
      </c>
      <c r="O1374" s="67" t="inlineStr">
        <is>
          <t xml:space="preserve">Protocolo </t>
        </is>
      </c>
    </row>
    <row r="1375">
      <c r="A1375" s="40" t="inlineStr">
        <is>
          <t>52588432120238210001</t>
        </is>
      </c>
      <c r="B1375" s="40" t="inlineStr">
        <is>
          <t>Outras</t>
        </is>
      </c>
      <c r="D1375" s="67" t="inlineStr">
        <is>
          <t>Renata Francisco Becker</t>
        </is>
      </c>
      <c r="E1375" s="62" t="n">
        <v>45356</v>
      </c>
      <c r="F1375" s="67" t="inlineStr"/>
      <c r="I1375" s="67" t="inlineStr">
        <is>
          <t>5000981-30.2026.8.24.0020</t>
        </is>
      </c>
      <c r="J1375" s="67" t="inlineStr">
        <is>
          <t>Tarefa</t>
        </is>
      </c>
      <c r="K1375" s="62" t="n">
        <v>46076</v>
      </c>
      <c r="L1375" s="67" t="inlineStr">
        <is>
          <t>Pedro Victor</t>
        </is>
      </c>
      <c r="M1375" s="40" t="inlineStr">
        <is>
          <t>Cumprido</t>
        </is>
      </c>
      <c r="N1375" s="62" t="n">
        <v>46076</v>
      </c>
      <c r="O1375" s="67" t="inlineStr">
        <is>
          <t>Revisão</t>
        </is>
      </c>
    </row>
    <row r="1376">
      <c r="A1376" s="40" t="n"/>
      <c r="B1376" s="40" t="inlineStr">
        <is>
          <t>Outras</t>
        </is>
      </c>
      <c r="D1376" s="67" t="inlineStr">
        <is>
          <t>Renata Francisco Becker</t>
        </is>
      </c>
      <c r="E1376" s="62" t="n">
        <v>45532</v>
      </c>
      <c r="I1376" s="67" t="inlineStr">
        <is>
          <t>5001271-45.2026.8.24.0020</t>
        </is>
      </c>
      <c r="J1376" s="67" t="inlineStr">
        <is>
          <t>Tarefa</t>
        </is>
      </c>
      <c r="K1376" s="62" t="n">
        <v>46076</v>
      </c>
      <c r="L1376" s="67" t="inlineStr">
        <is>
          <t>Pedro Victor</t>
        </is>
      </c>
      <c r="M1376" s="40" t="inlineStr">
        <is>
          <t>Cumprido</t>
        </is>
      </c>
      <c r="N1376" s="62" t="n">
        <v>46076</v>
      </c>
      <c r="O1376" s="67" t="inlineStr">
        <is>
          <t>Revisão</t>
        </is>
      </c>
    </row>
    <row r="1377">
      <c r="A1377" s="40" t="inlineStr">
        <is>
          <t>5012270-74.2019.4.04.7204</t>
        </is>
      </c>
      <c r="B1377" s="40" t="inlineStr">
        <is>
          <t>Outras</t>
        </is>
      </c>
      <c r="D1377" s="67" t="inlineStr">
        <is>
          <t>Renata Francisco Becker</t>
        </is>
      </c>
      <c r="E1377" s="62" t="n">
        <v>44707</v>
      </c>
      <c r="F1377" s="67" t="inlineStr">
        <is>
          <t>Juízo Substituto da 1ª VF de Tubarão</t>
        </is>
      </c>
      <c r="I1377" s="67" t="inlineStr"/>
      <c r="J1377" s="67" t="inlineStr">
        <is>
          <t>Tarefa</t>
        </is>
      </c>
      <c r="K1377" s="62" t="n">
        <v>46076</v>
      </c>
      <c r="L1377" s="67" t="inlineStr">
        <is>
          <t>Marelize Controladoria</t>
        </is>
      </c>
      <c r="M1377" s="40" t="inlineStr">
        <is>
          <t>Cumprido</t>
        </is>
      </c>
      <c r="N1377" s="62" t="n">
        <v>46076</v>
      </c>
      <c r="O1377" s="67" t="inlineStr">
        <is>
          <t>23/02/2026 - Conferir prazos no TJs - TJSC - TJRS - TRT12 - TRF4 - JFSC - TJRJ - TJPR - TJPA - TJSP - TJGO;</t>
        </is>
      </c>
    </row>
    <row r="1378">
      <c r="A1378" s="40" t="inlineStr">
        <is>
          <t>5012256-90.2019.4.04.7204</t>
        </is>
      </c>
      <c r="B1378" s="40" t="inlineStr">
        <is>
          <t>Outras</t>
        </is>
      </c>
      <c r="D1378" s="67" t="inlineStr">
        <is>
          <t>Renata Francisco Becker</t>
        </is>
      </c>
      <c r="E1378" s="62" t="n">
        <v>44707</v>
      </c>
      <c r="F1378" s="67" t="inlineStr">
        <is>
          <t>Juízo Federal da 1ª VF de Tubarão</t>
        </is>
      </c>
      <c r="I1378" s="67" t="inlineStr"/>
      <c r="J1378" s="67" t="inlineStr">
        <is>
          <t>Tarefa</t>
        </is>
      </c>
      <c r="K1378" s="62" t="n">
        <v>46076</v>
      </c>
      <c r="L1378" s="67" t="inlineStr">
        <is>
          <t>Marelize Controladoria</t>
        </is>
      </c>
      <c r="M1378" s="40" t="inlineStr">
        <is>
          <t>Cumprido</t>
        </is>
      </c>
      <c r="N1378" s="62" t="n">
        <v>46076</v>
      </c>
      <c r="O1378" s="67" t="inlineStr">
        <is>
          <t>23/02/2026 - Fazer Agendas.</t>
        </is>
      </c>
    </row>
    <row r="1379">
      <c r="A1379" s="40" t="n"/>
      <c r="B1379" s="40" t="inlineStr">
        <is>
          <t>Outras</t>
        </is>
      </c>
      <c r="D1379" s="67" t="inlineStr">
        <is>
          <t>Renata Francisco Becker</t>
        </is>
      </c>
      <c r="E1379" s="62" t="n">
        <v>45502</v>
      </c>
      <c r="I1379" s="67" t="inlineStr"/>
      <c r="J1379" s="67" t="inlineStr">
        <is>
          <t>Tarefa</t>
        </is>
      </c>
      <c r="K1379" s="62" t="n">
        <v>46076</v>
      </c>
      <c r="L1379" s="67" t="inlineStr">
        <is>
          <t>Marelize Controladoria</t>
        </is>
      </c>
      <c r="M1379" s="40" t="inlineStr">
        <is>
          <t>Cumprido</t>
        </is>
      </c>
      <c r="N1379" s="62" t="n">
        <v>46076</v>
      </c>
      <c r="O1379" s="67" t="inlineStr">
        <is>
          <t>23/02/2026 - Fazer Publicações.</t>
        </is>
      </c>
    </row>
    <row r="1380">
      <c r="A1380" s="40" t="inlineStr">
        <is>
          <t>03001912020158240028</t>
        </is>
      </c>
      <c r="B1380" s="40" t="inlineStr">
        <is>
          <t>Outras</t>
        </is>
      </c>
      <c r="D1380" s="67" t="inlineStr">
        <is>
          <t>Renata Francisco Becker</t>
        </is>
      </c>
      <c r="E1380" s="62" t="n">
        <v>45098</v>
      </c>
      <c r="F1380" s="67" t="inlineStr"/>
      <c r="I1380" s="67" t="inlineStr"/>
      <c r="J1380" s="67" t="inlineStr">
        <is>
          <t>Tarefa</t>
        </is>
      </c>
      <c r="K1380" s="62" t="n">
        <v>46076</v>
      </c>
      <c r="L1380" s="67" t="inlineStr">
        <is>
          <t>Marelize Controladoria</t>
        </is>
      </c>
      <c r="M1380" s="40" t="inlineStr">
        <is>
          <t>Cumprido</t>
        </is>
      </c>
      <c r="N1380" s="62" t="n">
        <v>46076</v>
      </c>
      <c r="O1380" s="67" t="inlineStr">
        <is>
          <t>23/02/2026 - Olhar E-mails.</t>
        </is>
      </c>
    </row>
    <row r="1381">
      <c r="A1381" s="40" t="inlineStr">
        <is>
          <t>5012251-68.2019.4.04.7204</t>
        </is>
      </c>
      <c r="B1381" s="40" t="inlineStr">
        <is>
          <t>Outras</t>
        </is>
      </c>
      <c r="D1381" s="67" t="inlineStr">
        <is>
          <t>Renata Francisco Becker</t>
        </is>
      </c>
      <c r="E1381" s="62" t="n">
        <v>44707</v>
      </c>
      <c r="F1381" s="67" t="inlineStr">
        <is>
          <t>Juízo Substituto da 1ª VF de Tubarão</t>
        </is>
      </c>
      <c r="I1381" s="67" t="inlineStr"/>
      <c r="J1381" s="67" t="inlineStr">
        <is>
          <t>Tarefa</t>
        </is>
      </c>
      <c r="K1381" s="62" t="n">
        <v>46076</v>
      </c>
      <c r="L1381" s="67" t="inlineStr">
        <is>
          <t>Jessica</t>
        </is>
      </c>
      <c r="M1381" s="40" t="inlineStr">
        <is>
          <t>Cumprido</t>
        </is>
      </c>
      <c r="N1381" s="62" t="n">
        <v>46076</v>
      </c>
      <c r="O1381" s="67" t="inlineStr">
        <is>
          <t xml:space="preserve">Apuração PGDAS </t>
        </is>
      </c>
    </row>
    <row r="1382">
      <c r="A1382" s="40" t="n"/>
      <c r="B1382" s="40" t="inlineStr">
        <is>
          <t>Outras</t>
        </is>
      </c>
      <c r="D1382" s="67" t="inlineStr">
        <is>
          <t>Renata Francisco Becker</t>
        </is>
      </c>
      <c r="E1382" s="62" t="n">
        <v>45512</v>
      </c>
      <c r="I1382" s="67" t="inlineStr">
        <is>
          <t>0001269-74.2025.5.12.0055</t>
        </is>
      </c>
      <c r="J1382" s="67" t="inlineStr">
        <is>
          <t>Tarefa</t>
        </is>
      </c>
      <c r="K1382" s="62" t="n">
        <v>46076</v>
      </c>
      <c r="L1382" s="67" t="inlineStr">
        <is>
          <t>Marelize Controladoria</t>
        </is>
      </c>
      <c r="M1382" s="40" t="inlineStr">
        <is>
          <t>Cumprido</t>
        </is>
      </c>
      <c r="N1382" s="62" t="n">
        <v>46076</v>
      </c>
      <c r="O1382" s="67" t="inlineStr">
        <is>
          <t>AVISAR CLIENTE DA AUDIENCIA</t>
        </is>
      </c>
    </row>
    <row r="1383">
      <c r="A1383" s="40" t="inlineStr">
        <is>
          <t>5006012-14.2020.4.04.7204</t>
        </is>
      </c>
      <c r="B1383" s="40" t="inlineStr">
        <is>
          <t>Outras</t>
        </is>
      </c>
      <c r="D1383" s="67" t="inlineStr">
        <is>
          <t>Renata Francisco Becker</t>
        </is>
      </c>
      <c r="E1383" s="62" t="n">
        <v>44706</v>
      </c>
      <c r="F1383" s="67" t="inlineStr">
        <is>
          <t>Juízo Substituto da 1ª VF de Tubarão</t>
        </is>
      </c>
      <c r="I1383" s="67" t="inlineStr">
        <is>
          <t>5002089-79.2025.8.24.0004</t>
        </is>
      </c>
      <c r="J1383" s="67" t="inlineStr">
        <is>
          <t>Tarefa</t>
        </is>
      </c>
      <c r="K1383" s="62" t="n">
        <v>46076</v>
      </c>
      <c r="L1383" s="67" t="inlineStr">
        <is>
          <t>Marelize Controladoria</t>
        </is>
      </c>
      <c r="M1383" s="40" t="inlineStr">
        <is>
          <t>Cumprido</t>
        </is>
      </c>
      <c r="N1383" s="62" t="n">
        <v>46076</v>
      </c>
      <c r="O1383" s="67" t="inlineStr">
        <is>
          <t>Avisar cliente da audiencia</t>
        </is>
      </c>
    </row>
    <row r="1384">
      <c r="A1384" s="40" t="inlineStr">
        <is>
          <t>5012335-69.2019.4.04.7204</t>
        </is>
      </c>
      <c r="B1384" s="40" t="inlineStr">
        <is>
          <t>Outras</t>
        </is>
      </c>
      <c r="D1384" s="67" t="inlineStr">
        <is>
          <t>Renata Francisco Becker</t>
        </is>
      </c>
      <c r="E1384" s="62" t="n">
        <v>44707</v>
      </c>
      <c r="F1384" s="67" t="inlineStr">
        <is>
          <t>Juízo Substituto da 4ª VF de Criciúma</t>
        </is>
      </c>
      <c r="I1384" s="67" t="inlineStr">
        <is>
          <t>5012163-30.2019.4.04.7204</t>
        </is>
      </c>
      <c r="J1384" s="67" t="inlineStr">
        <is>
          <t>Tarefa</t>
        </is>
      </c>
      <c r="K1384" s="62" t="n">
        <v>46076</v>
      </c>
      <c r="L1384" s="67" t="inlineStr">
        <is>
          <t>Pedro Victor</t>
        </is>
      </c>
      <c r="M1384" s="40" t="inlineStr">
        <is>
          <t>Cumprido</t>
        </is>
      </c>
      <c r="N1384" s="62" t="n">
        <v>46076</v>
      </c>
      <c r="O1384" s="67" t="inlineStr">
        <is>
          <t>Ciência da Decisão</t>
        </is>
      </c>
    </row>
    <row r="1385">
      <c r="A1385" s="40" t="inlineStr">
        <is>
          <t>5012438-76.2019.4.04.7204</t>
        </is>
      </c>
      <c r="B1385" s="40" t="inlineStr">
        <is>
          <t>Outras</t>
        </is>
      </c>
      <c r="D1385" s="67" t="inlineStr">
        <is>
          <t>Renata Francisco Becker</t>
        </is>
      </c>
      <c r="E1385" s="62" t="n">
        <v>44707</v>
      </c>
      <c r="F1385" s="67" t="inlineStr">
        <is>
          <t>Juízo Substituto da 1ª VF de Tubarão</t>
        </is>
      </c>
      <c r="I1385" s="67" t="inlineStr">
        <is>
          <t>5005921-60.2026.8.24.0045</t>
        </is>
      </c>
      <c r="J1385" s="67" t="inlineStr">
        <is>
          <t>Tarefa</t>
        </is>
      </c>
      <c r="K1385" s="62" t="n">
        <v>46076</v>
      </c>
      <c r="L1385" s="67" t="inlineStr">
        <is>
          <t>Marelize Controladoria</t>
        </is>
      </c>
      <c r="M1385" s="40" t="inlineStr">
        <is>
          <t>Cumprido</t>
        </is>
      </c>
      <c r="N1385" s="62" t="n">
        <v>46076</v>
      </c>
      <c r="O1385" s="67" t="inlineStr">
        <is>
          <t xml:space="preserve">fazer distrivuição do fluxo </t>
        </is>
      </c>
    </row>
    <row r="1386">
      <c r="A1386" s="40" t="inlineStr">
        <is>
          <t>5012279-36.2019.4.04.7204</t>
        </is>
      </c>
      <c r="B1386" s="40" t="inlineStr">
        <is>
          <t>Outras</t>
        </is>
      </c>
      <c r="D1386" s="67" t="inlineStr">
        <is>
          <t>Renata Francisco Becker</t>
        </is>
      </c>
      <c r="E1386" s="62" t="n">
        <v>44707</v>
      </c>
      <c r="F1386" s="67" t="inlineStr">
        <is>
          <t>Juízo Federal da 1ª VF de Tubarão</t>
        </is>
      </c>
      <c r="I1386" s="67" t="inlineStr"/>
      <c r="J1386" s="67" t="inlineStr">
        <is>
          <t>Tarefa</t>
        </is>
      </c>
      <c r="K1386" s="62" t="n">
        <v>46076</v>
      </c>
      <c r="L1386" s="67" t="inlineStr">
        <is>
          <t>Luci</t>
        </is>
      </c>
      <c r="M1386" s="40" t="inlineStr">
        <is>
          <t>Cumprido</t>
        </is>
      </c>
      <c r="N1386" s="62" t="n">
        <v>46076</v>
      </c>
      <c r="O1386" s="67" t="inlineStr">
        <is>
          <t>Finalização</t>
        </is>
      </c>
    </row>
    <row r="1387">
      <c r="A1387" s="40" t="inlineStr">
        <is>
          <t>5012280-21.2019.4.04.7204</t>
        </is>
      </c>
      <c r="B1387" s="40" t="inlineStr">
        <is>
          <t>Outras</t>
        </is>
      </c>
      <c r="D1387" s="67" t="inlineStr">
        <is>
          <t>Renata Francisco Becker</t>
        </is>
      </c>
      <c r="E1387" s="62" t="n">
        <v>44707</v>
      </c>
      <c r="F1387" s="67" t="inlineStr">
        <is>
          <t>Juízo Federal da 1ª VF de Tubarão</t>
        </is>
      </c>
      <c r="I1387" s="67" t="inlineStr"/>
      <c r="J1387" s="67" t="inlineStr">
        <is>
          <t>Tarefa</t>
        </is>
      </c>
      <c r="K1387" s="62" t="n">
        <v>46076</v>
      </c>
      <c r="L1387" s="67" t="inlineStr">
        <is>
          <t>Jessica</t>
        </is>
      </c>
      <c r="M1387" s="40" t="inlineStr">
        <is>
          <t>Cumprido</t>
        </is>
      </c>
      <c r="N1387" s="62" t="n">
        <v>46076</v>
      </c>
      <c r="O1387" s="67" t="inlineStr">
        <is>
          <t>Finalização</t>
        </is>
      </c>
    </row>
    <row r="1388">
      <c r="A1388" s="40" t="inlineStr">
        <is>
          <t>5012277-66.2019.4.04.7204</t>
        </is>
      </c>
      <c r="B1388" s="40" t="inlineStr">
        <is>
          <t>Outras</t>
        </is>
      </c>
      <c r="D1388" s="67" t="inlineStr">
        <is>
          <t>Renata Francisco Becker</t>
        </is>
      </c>
      <c r="E1388" s="62" t="n">
        <v>44707</v>
      </c>
      <c r="F1388" s="67" t="inlineStr">
        <is>
          <t>Juízo Federal da 1ª VF de Tubarão</t>
        </is>
      </c>
      <c r="I1388" s="67" t="inlineStr"/>
      <c r="J1388" s="67" t="inlineStr">
        <is>
          <t>Tarefa</t>
        </is>
      </c>
      <c r="K1388" s="62" t="n">
        <v>46076</v>
      </c>
      <c r="L1388" s="67" t="inlineStr">
        <is>
          <t>Jessica</t>
        </is>
      </c>
      <c r="M1388" s="40" t="inlineStr">
        <is>
          <t>Cumprido</t>
        </is>
      </c>
      <c r="N1388" s="62" t="n">
        <v>46076</v>
      </c>
      <c r="O1388" s="67" t="inlineStr">
        <is>
          <t>Finalização</t>
        </is>
      </c>
    </row>
    <row r="1389">
      <c r="A1389" s="40" t="inlineStr">
        <is>
          <t>5012241-24.2019.4.04.7204</t>
        </is>
      </c>
      <c r="B1389" s="40" t="inlineStr">
        <is>
          <t>Outras</t>
        </is>
      </c>
      <c r="D1389" s="67" t="inlineStr">
        <is>
          <t>Renata Francisco Becker</t>
        </is>
      </c>
      <c r="E1389" s="62" t="n">
        <v>44706</v>
      </c>
      <c r="F1389" s="67" t="inlineStr">
        <is>
          <t>Juízo Federal da 1ª VF de Tubarão</t>
        </is>
      </c>
      <c r="I1389" s="67" t="inlineStr"/>
      <c r="J1389" s="67" t="inlineStr">
        <is>
          <t>Tarefa</t>
        </is>
      </c>
      <c r="K1389" s="62" t="n">
        <v>46076</v>
      </c>
      <c r="L1389" s="67" t="inlineStr">
        <is>
          <t xml:space="preserve">Lucas </t>
        </is>
      </c>
      <c r="M1389" s="40" t="inlineStr">
        <is>
          <t>Cumprido</t>
        </is>
      </c>
      <c r="N1389" s="62" t="n">
        <v>46076</v>
      </c>
      <c r="O1389" s="67" t="inlineStr">
        <is>
          <t>Fiscalização (Cumprimento pela empresa)</t>
        </is>
      </c>
    </row>
    <row r="1390">
      <c r="A1390" s="40" t="inlineStr">
        <is>
          <t>5005933-06.2018.4.04.7204</t>
        </is>
      </c>
      <c r="B1390" s="40" t="inlineStr">
        <is>
          <t>Outras</t>
        </is>
      </c>
      <c r="D1390" s="67" t="inlineStr">
        <is>
          <t>Renata Francisco Becker</t>
        </is>
      </c>
      <c r="E1390" s="62" t="n">
        <v>44816</v>
      </c>
      <c r="F1390" s="67" t="inlineStr">
        <is>
          <t>Gab. Juiz Federal JOÃO BATISTA LAZZARI (SC-3B)</t>
        </is>
      </c>
      <c r="I1390" s="67" t="inlineStr"/>
      <c r="J1390" s="67" t="inlineStr">
        <is>
          <t>Tarefa</t>
        </is>
      </c>
      <c r="K1390" s="62" t="n">
        <v>46076</v>
      </c>
      <c r="L1390" s="67" t="inlineStr">
        <is>
          <t xml:space="preserve">Lucas </t>
        </is>
      </c>
      <c r="M1390" s="40" t="inlineStr">
        <is>
          <t>Cumprido</t>
        </is>
      </c>
      <c r="N1390" s="62" t="n">
        <v>46076</v>
      </c>
      <c r="O1390" s="67" t="inlineStr">
        <is>
          <t>Fiscalização (Cumprimento pela empresa)</t>
        </is>
      </c>
    </row>
    <row r="1391">
      <c r="A1391" s="40" t="inlineStr">
        <is>
          <t>5012275-96.2019.4.04.7204</t>
        </is>
      </c>
      <c r="B1391" s="40" t="inlineStr">
        <is>
          <t>Outras</t>
        </is>
      </c>
      <c r="D1391" s="67" t="inlineStr">
        <is>
          <t>Renata Francisco Becker</t>
        </is>
      </c>
      <c r="E1391" s="62" t="n">
        <v>44816</v>
      </c>
      <c r="F1391" s="67" t="inlineStr">
        <is>
          <t>Juízo Substituto da 4ª VF de Criciúma</t>
        </is>
      </c>
      <c r="I1391" s="67" t="inlineStr"/>
      <c r="J1391" s="67" t="inlineStr">
        <is>
          <t>Tarefa</t>
        </is>
      </c>
      <c r="K1391" s="62" t="n">
        <v>46076</v>
      </c>
      <c r="L1391" s="67" t="inlineStr">
        <is>
          <t>Jessica</t>
        </is>
      </c>
      <c r="M1391" s="40" t="inlineStr">
        <is>
          <t>Cumprido</t>
        </is>
      </c>
      <c r="N1391" s="62" t="n">
        <v>46076</v>
      </c>
      <c r="O1391" s="67" t="inlineStr">
        <is>
          <t>Levantamento de PIS COFINS - Millenium</t>
        </is>
      </c>
    </row>
    <row r="1392">
      <c r="A1392" s="40" t="inlineStr">
        <is>
          <t>5012259-45.2019.4.04.7204</t>
        </is>
      </c>
      <c r="B1392" s="40" t="inlineStr">
        <is>
          <t>Outras</t>
        </is>
      </c>
      <c r="D1392" s="67" t="inlineStr">
        <is>
          <t>Renata Francisco Becker</t>
        </is>
      </c>
      <c r="E1392" s="62" t="n">
        <v>44707</v>
      </c>
      <c r="F1392" s="67" t="inlineStr">
        <is>
          <t>Juízo Federal da 1ª VF de Tubarão</t>
        </is>
      </c>
      <c r="I1392" s="67" t="inlineStr"/>
      <c r="J1392" s="67" t="inlineStr">
        <is>
          <t>Tarefa</t>
        </is>
      </c>
      <c r="K1392" s="62" t="n">
        <v>46076</v>
      </c>
      <c r="L1392" s="67" t="inlineStr">
        <is>
          <t>Marelize Controladoria</t>
        </is>
      </c>
      <c r="M1392" s="40" t="inlineStr">
        <is>
          <t>Cumprido</t>
        </is>
      </c>
      <c r="N1392" s="62" t="n">
        <v>46076</v>
      </c>
      <c r="O1392" s="67" t="inlineStr">
        <is>
          <t xml:space="preserve">Lise criar fluxo de distribuição </t>
        </is>
      </c>
    </row>
    <row r="1393">
      <c r="A1393" s="40" t="inlineStr">
        <is>
          <t>5000534-25.2020.4.04.7204</t>
        </is>
      </c>
      <c r="B1393" s="40" t="inlineStr">
        <is>
          <t>Outras</t>
        </is>
      </c>
      <c r="D1393" s="67" t="inlineStr">
        <is>
          <t>Renata Francisco Becker</t>
        </is>
      </c>
      <c r="E1393" s="62" t="n">
        <v>44706</v>
      </c>
      <c r="F1393" s="67" t="inlineStr">
        <is>
          <t>Juízo Federal da 1ª VF de Tubarão</t>
        </is>
      </c>
      <c r="I1393" s="67" t="inlineStr"/>
      <c r="J1393" s="67" t="inlineStr">
        <is>
          <t>Tarefa</t>
        </is>
      </c>
      <c r="K1393" s="62" t="n">
        <v>46076</v>
      </c>
      <c r="L1393" s="67" t="inlineStr">
        <is>
          <t xml:space="preserve">Alexia </t>
        </is>
      </c>
      <c r="M1393" s="40" t="inlineStr">
        <is>
          <t>Cumprido</t>
        </is>
      </c>
      <c r="N1393" s="62" t="n">
        <v>46076</v>
      </c>
      <c r="O1393" s="67" t="inlineStr">
        <is>
          <t>Protocolo</t>
        </is>
      </c>
    </row>
    <row r="1394">
      <c r="A1394" s="40" t="inlineStr">
        <is>
          <t>14152.035611/2024-25</t>
        </is>
      </c>
      <c r="B1394" s="40" t="inlineStr">
        <is>
          <t>Outras</t>
        </is>
      </c>
      <c r="D1394" s="67" t="inlineStr">
        <is>
          <t>Pedro Victor</t>
        </is>
      </c>
      <c r="E1394" s="62" t="n">
        <v>45386</v>
      </c>
      <c r="F1394" s="67" t="inlineStr"/>
      <c r="I1394" s="67" t="inlineStr">
        <is>
          <t>5003082-74.2025.8.24.0020</t>
        </is>
      </c>
      <c r="J1394" s="67" t="inlineStr">
        <is>
          <t>Tarefa</t>
        </is>
      </c>
      <c r="K1394" s="62" t="n">
        <v>46076</v>
      </c>
      <c r="L1394" s="67" t="inlineStr">
        <is>
          <t xml:space="preserve">Alexia </t>
        </is>
      </c>
      <c r="M1394" s="40" t="inlineStr">
        <is>
          <t>Cumprido</t>
        </is>
      </c>
      <c r="N1394" s="62" t="n">
        <v>46076</v>
      </c>
      <c r="O1394" s="67" t="inlineStr">
        <is>
          <t>Protocolo</t>
        </is>
      </c>
    </row>
    <row r="1395">
      <c r="A1395" s="40" t="n"/>
      <c r="B1395" s="40" t="inlineStr">
        <is>
          <t>Outras</t>
        </is>
      </c>
      <c r="D1395" s="67" t="inlineStr">
        <is>
          <t>Renata Francisco Becker</t>
        </is>
      </c>
      <c r="E1395" s="62" t="n">
        <v>45523</v>
      </c>
      <c r="I1395" s="67" t="inlineStr">
        <is>
          <t>0000723-11.2022.5.12.0027</t>
        </is>
      </c>
      <c r="J1395" s="67" t="inlineStr">
        <is>
          <t>Tarefa</t>
        </is>
      </c>
      <c r="K1395" s="62" t="n">
        <v>46076</v>
      </c>
      <c r="L1395" s="67" t="inlineStr">
        <is>
          <t>Luci</t>
        </is>
      </c>
      <c r="M1395" s="40" t="inlineStr">
        <is>
          <t>Cumprido</t>
        </is>
      </c>
      <c r="N1395" s="62" t="n">
        <v>46076</v>
      </c>
      <c r="O1395" s="67" t="inlineStr">
        <is>
          <t>Protocolo</t>
        </is>
      </c>
    </row>
    <row r="1396">
      <c r="A1396" s="40" t="n"/>
      <c r="B1396" s="40" t="inlineStr">
        <is>
          <t>Outras</t>
        </is>
      </c>
      <c r="D1396" s="67" t="inlineStr">
        <is>
          <t>Renata Francisco Becker</t>
        </is>
      </c>
      <c r="E1396" s="62" t="n">
        <v>45512</v>
      </c>
      <c r="I1396" s="67" t="inlineStr">
        <is>
          <t>5011264-98.2026.8.24.0930</t>
        </is>
      </c>
      <c r="J1396" s="67" t="inlineStr">
        <is>
          <t>Tarefa</t>
        </is>
      </c>
      <c r="K1396" s="62" t="n">
        <v>46076</v>
      </c>
      <c r="L1396" s="67" t="inlineStr">
        <is>
          <t xml:space="preserve">Alexia </t>
        </is>
      </c>
      <c r="M1396" s="40" t="inlineStr">
        <is>
          <t>Cumprido</t>
        </is>
      </c>
      <c r="N1396" s="62" t="n">
        <v>46076</v>
      </c>
      <c r="O1396" s="67" t="inlineStr">
        <is>
          <t>Protocolo</t>
        </is>
      </c>
    </row>
    <row r="1397">
      <c r="A1397" s="40" t="inlineStr">
        <is>
          <t>0000205-63.2024.5.12.0055</t>
        </is>
      </c>
      <c r="B1397" s="40" t="inlineStr">
        <is>
          <t>Outras</t>
        </is>
      </c>
      <c r="D1397" s="67" t="inlineStr">
        <is>
          <t>Pedro Victor</t>
        </is>
      </c>
      <c r="E1397" s="62" t="n">
        <v>45365</v>
      </c>
      <c r="F1397" s="67" t="inlineStr">
        <is>
          <t>3ª VARA DO TRABALHO DE CRICIÚMA</t>
        </is>
      </c>
      <c r="I1397" s="67" t="inlineStr">
        <is>
          <t>50036454420258240028</t>
        </is>
      </c>
      <c r="J1397" s="67" t="inlineStr">
        <is>
          <t>Tarefa</t>
        </is>
      </c>
      <c r="K1397" s="62" t="n">
        <v>46076</v>
      </c>
      <c r="L1397" s="67" t="inlineStr">
        <is>
          <t xml:space="preserve">Alexia </t>
        </is>
      </c>
      <c r="M1397" s="40" t="inlineStr">
        <is>
          <t>Cumprido</t>
        </is>
      </c>
      <c r="N1397" s="62" t="n">
        <v>46076</v>
      </c>
      <c r="O1397" s="67" t="inlineStr">
        <is>
          <t>RETORNO CLIENTE - Cliente deseja saber o andamento dos processos.</t>
        </is>
      </c>
    </row>
    <row r="1398">
      <c r="A1398" s="40" t="inlineStr">
        <is>
          <t>0000399-63.2024.5.12.0055</t>
        </is>
      </c>
      <c r="B1398" s="40" t="inlineStr">
        <is>
          <t>Outras</t>
        </is>
      </c>
      <c r="D1398" s="67" t="inlineStr">
        <is>
          <t>Renata Francisco Becker</t>
        </is>
      </c>
      <c r="E1398" s="62" t="n">
        <v>45418</v>
      </c>
      <c r="F1398" s="67" t="inlineStr">
        <is>
          <t>3ª VARA DO TRABALHO DE CRICIÚMA</t>
        </is>
      </c>
      <c r="I1398" s="67" t="inlineStr"/>
      <c r="J1398" s="67" t="inlineStr">
        <is>
          <t>Tarefa</t>
        </is>
      </c>
      <c r="K1398" s="62" t="n">
        <v>46076</v>
      </c>
      <c r="L1398" s="67" t="inlineStr">
        <is>
          <t>Luci</t>
        </is>
      </c>
      <c r="M1398" s="40" t="inlineStr">
        <is>
          <t>Cumprido</t>
        </is>
      </c>
      <c r="N1398" s="62" t="n">
        <v>46076</v>
      </c>
      <c r="O1398" s="67" t="inlineStr">
        <is>
          <t>RETORNO CLIENTE - CONTRATO SOCIAL</t>
        </is>
      </c>
    </row>
    <row r="1399">
      <c r="A1399" s="40" t="inlineStr">
        <is>
          <t>0044603-32.2022.8.16.0014</t>
        </is>
      </c>
      <c r="B1399" s="40" t="inlineStr">
        <is>
          <t>Outras</t>
        </is>
      </c>
      <c r="D1399" s="67" t="inlineStr">
        <is>
          <t>Renata Francisco Becker</t>
        </is>
      </c>
      <c r="E1399" s="62" t="n">
        <v>45090</v>
      </c>
      <c r="F1399" s="67" t="inlineStr">
        <is>
          <t>1ª Vara de Execuções Fiscais de Londrina</t>
        </is>
      </c>
      <c r="I1399" s="67" t="inlineStr"/>
      <c r="J1399" s="67" t="inlineStr">
        <is>
          <t>Tarefa</t>
        </is>
      </c>
      <c r="K1399" s="62" t="n">
        <v>46076</v>
      </c>
      <c r="L1399" s="67" t="inlineStr">
        <is>
          <t>Luci</t>
        </is>
      </c>
      <c r="M1399" s="40" t="inlineStr">
        <is>
          <t>Cumprido</t>
        </is>
      </c>
      <c r="N1399" s="62" t="n">
        <v>46076</v>
      </c>
      <c r="O1399" s="67" t="inlineStr">
        <is>
          <t>RETORNO CLIENTE - José Luiz e Éverton Holmos informaram que: A empresa na qual trabalhamos não nos procurou pra fazermos exame demicional mas efetuaram o pagamento.</t>
        </is>
      </c>
    </row>
    <row r="1400">
      <c r="A1400" s="40" t="inlineStr">
        <is>
          <t>5090235-05.2023.8.24.0930</t>
        </is>
      </c>
      <c r="B1400" s="40" t="inlineStr">
        <is>
          <t>Outras</t>
        </is>
      </c>
      <c r="D1400" s="67" t="inlineStr">
        <is>
          <t>Renata Francisco Becker</t>
        </is>
      </c>
      <c r="E1400" s="62" t="n">
        <v>45457</v>
      </c>
      <c r="F1400" s="67" t="inlineStr"/>
      <c r="I1400" s="67" t="inlineStr"/>
      <c r="J1400" s="67" t="inlineStr">
        <is>
          <t>Tarefa</t>
        </is>
      </c>
      <c r="K1400" s="62" t="n">
        <v>46076</v>
      </c>
      <c r="L1400" s="67" t="inlineStr">
        <is>
          <t>Luci</t>
        </is>
      </c>
      <c r="M1400" s="40" t="inlineStr">
        <is>
          <t>Cumprido</t>
        </is>
      </c>
      <c r="N1400" s="62" t="n">
        <v>46076</v>
      </c>
      <c r="O1400" s="67" t="inlineStr">
        <is>
          <t xml:space="preserve">RETORNO CLIENTE - Um motorista nosso por desatenção total foi manobrar e rascou fora a fora o pneu, coloquei o pneu a uma semana, Posso cobrar dele ?
</t>
        </is>
      </c>
    </row>
    <row r="1401">
      <c r="A1401" s="40" t="inlineStr">
        <is>
          <t>5049815-91.2021.4.04.0000</t>
        </is>
      </c>
      <c r="B1401" s="40" t="inlineStr">
        <is>
          <t>Outras</t>
        </is>
      </c>
      <c r="D1401" s="67" t="inlineStr">
        <is>
          <t>Renata Francisco Becker</t>
        </is>
      </c>
      <c r="E1401" s="62" t="n">
        <v>45250</v>
      </c>
      <c r="I1401" s="67" t="inlineStr">
        <is>
          <t>50617396920258240000</t>
        </is>
      </c>
      <c r="J1401" s="67" t="inlineStr">
        <is>
          <t>Tarefa</t>
        </is>
      </c>
      <c r="K1401" s="62" t="n">
        <v>46076</v>
      </c>
      <c r="L1401" s="67" t="inlineStr">
        <is>
          <t>Pedro Victor</t>
        </is>
      </c>
      <c r="M1401" s="40" t="inlineStr">
        <is>
          <t>Cumprido</t>
        </is>
      </c>
      <c r="N1401" s="62" t="n">
        <v>46076</v>
      </c>
      <c r="O1401" s="67" t="inlineStr">
        <is>
          <t>Revisão</t>
        </is>
      </c>
    </row>
    <row r="1402">
      <c r="A1402" s="40" t="n"/>
      <c r="B1402" s="40" t="inlineStr">
        <is>
          <t>Outras</t>
        </is>
      </c>
      <c r="D1402" s="67" t="inlineStr">
        <is>
          <t>Renata Francisco Becker</t>
        </is>
      </c>
      <c r="E1402" s="62" t="n">
        <v>45510</v>
      </c>
      <c r="I1402" s="67" t="inlineStr"/>
      <c r="J1402" s="67" t="inlineStr">
        <is>
          <t>Tarefa</t>
        </is>
      </c>
      <c r="K1402" s="62" t="n">
        <v>46076</v>
      </c>
      <c r="L1402" s="67" t="inlineStr">
        <is>
          <t>Pedro Victor</t>
        </is>
      </c>
      <c r="M1402" s="40" t="inlineStr">
        <is>
          <t>Cumprido</t>
        </is>
      </c>
      <c r="N1402" s="62" t="n">
        <v>46076</v>
      </c>
      <c r="O1402" s="67" t="inlineStr">
        <is>
          <t>Revisão</t>
        </is>
      </c>
    </row>
    <row r="1403">
      <c r="A1403" s="40" t="inlineStr">
        <is>
          <t>5009556-95.2024.8.24.0020</t>
        </is>
      </c>
      <c r="B1403" s="40" t="inlineStr">
        <is>
          <t>Outras</t>
        </is>
      </c>
      <c r="D1403" s="67" t="inlineStr">
        <is>
          <t>Renata Francisco Becker</t>
        </is>
      </c>
      <c r="E1403" s="62" t="n">
        <v>45483</v>
      </c>
      <c r="F1403" s="67" t="inlineStr"/>
      <c r="I1403" s="67" t="inlineStr">
        <is>
          <t>5026124-09.2025.4.04.0000</t>
        </is>
      </c>
      <c r="J1403" s="67" t="inlineStr">
        <is>
          <t>Tarefa</t>
        </is>
      </c>
      <c r="K1403" s="62" t="n">
        <v>46076</v>
      </c>
      <c r="L1403" s="67" t="inlineStr">
        <is>
          <t>Pedro Victor</t>
        </is>
      </c>
      <c r="M1403" s="40" t="inlineStr">
        <is>
          <t>Cumprido</t>
        </is>
      </c>
      <c r="N1403" s="62" t="n">
        <v>46076</v>
      </c>
      <c r="O1403" s="67" t="inlineStr">
        <is>
          <t>Revisão</t>
        </is>
      </c>
    </row>
    <row r="1404">
      <c r="A1404" s="40" t="n"/>
      <c r="B1404" s="40" t="inlineStr">
        <is>
          <t>Outras</t>
        </is>
      </c>
      <c r="D1404" s="67" t="inlineStr">
        <is>
          <t>Renata Francisco Becker</t>
        </is>
      </c>
      <c r="E1404" s="62" t="n">
        <v>45511</v>
      </c>
      <c r="I1404" s="67" t="inlineStr"/>
      <c r="J1404" s="67" t="inlineStr">
        <is>
          <t>Tarefa</t>
        </is>
      </c>
      <c r="K1404" s="62" t="n">
        <v>46076</v>
      </c>
      <c r="L1404" s="67" t="inlineStr">
        <is>
          <t>Pedro Victor</t>
        </is>
      </c>
      <c r="M1404" s="40" t="inlineStr">
        <is>
          <t>Cumprido</t>
        </is>
      </c>
      <c r="N1404" s="62" t="n">
        <v>46076</v>
      </c>
      <c r="O1404" s="67" t="inlineStr">
        <is>
          <t>Revisão</t>
        </is>
      </c>
    </row>
    <row r="1405">
      <c r="A1405" s="40" t="n"/>
      <c r="B1405" s="40" t="inlineStr">
        <is>
          <t>Outras</t>
        </is>
      </c>
      <c r="D1405" s="67" t="inlineStr">
        <is>
          <t>Renata Francisco Becker</t>
        </is>
      </c>
      <c r="E1405" s="62" t="n">
        <v>45497</v>
      </c>
      <c r="I1405" s="67" t="inlineStr"/>
      <c r="J1405" s="67" t="inlineStr">
        <is>
          <t>Tarefa</t>
        </is>
      </c>
      <c r="K1405" s="62" t="n">
        <v>46076</v>
      </c>
      <c r="L1405" s="67" t="inlineStr">
        <is>
          <t>Pedro Victor</t>
        </is>
      </c>
      <c r="M1405" s="40" t="inlineStr">
        <is>
          <t>Cumprido</t>
        </is>
      </c>
      <c r="N1405" s="62" t="n">
        <v>46076</v>
      </c>
      <c r="O1405" s="67" t="inlineStr">
        <is>
          <t xml:space="preserve">Revisão </t>
        </is>
      </c>
    </row>
    <row r="1406">
      <c r="A1406" s="40" t="n"/>
      <c r="B1406" s="40" t="inlineStr">
        <is>
          <t>Outras</t>
        </is>
      </c>
      <c r="D1406" s="67" t="inlineStr">
        <is>
          <t>Renata Francisco Becker</t>
        </is>
      </c>
      <c r="E1406" s="62" t="n">
        <v>45511</v>
      </c>
      <c r="I1406" s="67" t="inlineStr">
        <is>
          <t>50097130520238240020</t>
        </is>
      </c>
      <c r="J1406" s="67" t="inlineStr">
        <is>
          <t>Tarefa</t>
        </is>
      </c>
      <c r="K1406" s="62" t="n">
        <v>46076</v>
      </c>
      <c r="L1406" s="67" t="inlineStr">
        <is>
          <t>Pedro Victor</t>
        </is>
      </c>
      <c r="M1406" s="40" t="inlineStr">
        <is>
          <t>Cumprido</t>
        </is>
      </c>
      <c r="N1406" s="62" t="n">
        <v>46076</v>
      </c>
      <c r="O1406" s="67" t="inlineStr">
        <is>
          <t>Revisão</t>
        </is>
      </c>
    </row>
    <row r="1407">
      <c r="A1407" s="40" t="inlineStr">
        <is>
          <t>5016562-56.2024.8.24.0020</t>
        </is>
      </c>
      <c r="B1407" s="40" t="inlineStr">
        <is>
          <t>Outras</t>
        </is>
      </c>
      <c r="D1407" s="67" t="inlineStr">
        <is>
          <t>Renata Francisco Becker</t>
        </is>
      </c>
      <c r="E1407" s="62" t="n">
        <v>45506</v>
      </c>
      <c r="F1407" s="67" t="inlineStr"/>
      <c r="I1407" s="67" t="inlineStr"/>
      <c r="J1407" s="67" t="inlineStr">
        <is>
          <t>Tarefa</t>
        </is>
      </c>
      <c r="K1407" s="62" t="n">
        <v>46076</v>
      </c>
      <c r="L1407" s="67" t="inlineStr">
        <is>
          <t>Pedro Victor</t>
        </is>
      </c>
      <c r="M1407" s="40" t="inlineStr">
        <is>
          <t>Cumprido</t>
        </is>
      </c>
      <c r="N1407" s="62" t="n">
        <v>46076</v>
      </c>
      <c r="O1407" s="67" t="inlineStr">
        <is>
          <t>Revisão</t>
        </is>
      </c>
    </row>
    <row r="1408">
      <c r="A1408" s="40" t="inlineStr">
        <is>
          <t>0002909-53.2016.8.24.0020</t>
        </is>
      </c>
      <c r="B1408" s="40" t="inlineStr">
        <is>
          <t>Outras</t>
        </is>
      </c>
      <c r="D1408" s="67" t="inlineStr">
        <is>
          <t>Renata Francisco Becker</t>
        </is>
      </c>
      <c r="E1408" s="62" t="n">
        <v>45464</v>
      </c>
      <c r="F1408" s="67" t="inlineStr"/>
      <c r="I1408" s="67" t="inlineStr"/>
      <c r="J1408" s="67" t="inlineStr">
        <is>
          <t>Evento</t>
        </is>
      </c>
      <c r="K1408" s="62" t="n">
        <v>46076</v>
      </c>
      <c r="L1408" s="67" t="inlineStr">
        <is>
          <t>Renata Francisco Becker</t>
        </is>
      </c>
      <c r="M1408" s="40" t="inlineStr">
        <is>
          <t>Cumprido</t>
        </is>
      </c>
      <c r="N1408" s="62" t="n">
        <v>46076</v>
      </c>
      <c r="O1408" s="67" t="inlineStr">
        <is>
          <t>AUSENTE (Motivo recesso)</t>
        </is>
      </c>
    </row>
    <row r="1409">
      <c r="A1409" s="40" t="n"/>
      <c r="B1409" s="40" t="inlineStr">
        <is>
          <t>Outras</t>
        </is>
      </c>
      <c r="D1409" s="67" t="inlineStr">
        <is>
          <t>Pedro Victor</t>
        </is>
      </c>
      <c r="E1409" s="62" t="n">
        <v>45497</v>
      </c>
      <c r="I1409" s="67" t="inlineStr"/>
      <c r="J1409" s="67" t="inlineStr">
        <is>
          <t>Evento</t>
        </is>
      </c>
      <c r="K1409" s="62" t="n">
        <v>46076</v>
      </c>
      <c r="L1409" s="67" t="inlineStr">
        <is>
          <t>Pedro Victor</t>
        </is>
      </c>
      <c r="M1409" s="40" t="inlineStr">
        <is>
          <t>Cumprido</t>
        </is>
      </c>
      <c r="N1409" s="62" t="n">
        <v>46076</v>
      </c>
      <c r="O1409" s="67" t="inlineStr">
        <is>
          <t>23/02/2026 - Reunião de Equipe</t>
        </is>
      </c>
    </row>
    <row r="1410">
      <c r="A1410" s="40" t="n"/>
      <c r="B1410" s="40" t="inlineStr">
        <is>
          <t>Outras</t>
        </is>
      </c>
      <c r="D1410" s="67" t="inlineStr">
        <is>
          <t>Renata Francisco Becker</t>
        </is>
      </c>
      <c r="E1410" s="62" t="n">
        <v>45490</v>
      </c>
      <c r="I1410" s="67" t="inlineStr">
        <is>
          <t>5000969-70.2025.8.24.0175</t>
        </is>
      </c>
      <c r="J1410" s="67" t="inlineStr">
        <is>
          <t>Audiência</t>
        </is>
      </c>
      <c r="K1410" s="62" t="n">
        <v>46076</v>
      </c>
      <c r="L1410" s="67" t="inlineStr">
        <is>
          <t>Pedro Victor</t>
        </is>
      </c>
      <c r="M1410" s="40" t="inlineStr">
        <is>
          <t>Cumprido</t>
        </is>
      </c>
      <c r="N1410" s="62" t="n">
        <v>46076</v>
      </c>
      <c r="O1410" s="67" t="inlineStr">
        <is>
          <t>Audiencia de Conciliação PERDONA ALIMENTOS LTDA x MAUA TRADING LTDA</t>
        </is>
      </c>
    </row>
    <row r="1411">
      <c r="A1411" s="40" t="n"/>
      <c r="B1411" s="40" t="inlineStr">
        <is>
          <t>Outras</t>
        </is>
      </c>
      <c r="D1411" s="67" t="inlineStr">
        <is>
          <t>Pedro Victor</t>
        </is>
      </c>
      <c r="E1411" s="62" t="n">
        <v>45482</v>
      </c>
      <c r="I1411" s="67" t="inlineStr">
        <is>
          <t>0001725-11.2025.5.12.0027</t>
        </is>
      </c>
      <c r="J1411" s="67" t="inlineStr">
        <is>
          <t>Audiência</t>
        </is>
      </c>
      <c r="K1411" s="62" t="n">
        <v>46076</v>
      </c>
      <c r="L1411" s="67" t="inlineStr">
        <is>
          <t>Luci</t>
        </is>
      </c>
      <c r="M1411" s="40" t="inlineStr">
        <is>
          <t>Cumprido</t>
        </is>
      </c>
      <c r="N1411" s="62" t="n">
        <v>46076</v>
      </c>
      <c r="O1411" s="67" t="inlineStr">
        <is>
          <t>Homologação de Acordo - RICHARD WAGNER PINTO x MEGA MAQUINAS LTDA</t>
        </is>
      </c>
    </row>
    <row r="1412">
      <c r="A1412" s="40" t="n"/>
      <c r="B1412" s="40" t="inlineStr">
        <is>
          <t>Outras</t>
        </is>
      </c>
      <c r="D1412" s="67" t="inlineStr">
        <is>
          <t>Renata Francisco Becker</t>
        </is>
      </c>
      <c r="E1412" s="62" t="n">
        <v>45342</v>
      </c>
      <c r="I1412" s="67" t="inlineStr">
        <is>
          <t>5001164-58.2020.8.24.0166</t>
        </is>
      </c>
      <c r="J1412" s="67" t="inlineStr">
        <is>
          <t>Evento</t>
        </is>
      </c>
      <c r="K1412" s="62" t="n">
        <v>46076</v>
      </c>
      <c r="L1412" s="67" t="inlineStr">
        <is>
          <t>Pedro Victor</t>
        </is>
      </c>
      <c r="M1412" s="40" t="inlineStr">
        <is>
          <t>Cumprido</t>
        </is>
      </c>
      <c r="N1412" s="62" t="n">
        <v>46076</v>
      </c>
      <c r="O1412" s="67" t="inlineStr">
        <is>
          <t>Lelião coloneti - material escri</t>
        </is>
      </c>
    </row>
    <row r="1413">
      <c r="A1413" s="40" t="inlineStr">
        <is>
          <t>5004080-67.2022.8.24.0078</t>
        </is>
      </c>
      <c r="B1413" s="40" t="inlineStr">
        <is>
          <t>Outras</t>
        </is>
      </c>
      <c r="D1413" s="67" t="inlineStr">
        <is>
          <t>Renata Francisco Becker</t>
        </is>
      </c>
      <c r="E1413" s="62" t="n">
        <v>44872</v>
      </c>
      <c r="F1413" s="67" t="inlineStr">
        <is>
          <t>Juízo da 1ª Vara da Comarca de Urussanga</t>
        </is>
      </c>
      <c r="I1413" s="67" t="inlineStr">
        <is>
          <t>5001161-65.2025.8.24.0025</t>
        </is>
      </c>
      <c r="J1413" s="67" t="inlineStr">
        <is>
          <t>Prazo</t>
        </is>
      </c>
      <c r="K1413" s="62" t="n">
        <v>46077</v>
      </c>
      <c r="L1413" s="67" t="inlineStr">
        <is>
          <t>Ronaldo Koyama</t>
        </is>
      </c>
      <c r="M1413" s="40" t="inlineStr">
        <is>
          <t>Cumprido</t>
        </is>
      </c>
      <c r="N1413" s="62" t="n">
        <v>46077</v>
      </c>
      <c r="O1413" s="67" t="inlineStr">
        <is>
          <t>CUMPRIMENTO DE SENTENÇA</t>
        </is>
      </c>
    </row>
    <row r="1414">
      <c r="A1414" s="40" t="n"/>
      <c r="B1414" s="40" t="inlineStr">
        <is>
          <t>Outras</t>
        </is>
      </c>
      <c r="D1414" s="67" t="inlineStr">
        <is>
          <t>Pedro Victor</t>
        </is>
      </c>
      <c r="E1414" s="62" t="n">
        <v>45496</v>
      </c>
      <c r="I1414" s="67" t="inlineStr">
        <is>
          <t>5003021-38.2023.8.24.0004</t>
        </is>
      </c>
      <c r="J1414" s="67" t="inlineStr">
        <is>
          <t>Prazo</t>
        </is>
      </c>
      <c r="K1414" s="62" t="n">
        <v>46077</v>
      </c>
      <c r="L1414" s="67" t="inlineStr">
        <is>
          <t xml:space="preserve">Alexia </t>
        </is>
      </c>
      <c r="M1414" s="40" t="inlineStr">
        <is>
          <t>Cumprido</t>
        </is>
      </c>
      <c r="N1414" s="62" t="n">
        <v>46077</v>
      </c>
      <c r="O1414" s="67" t="inlineStr">
        <is>
          <t>Estudar caso da perdona e traçar uma estrategia</t>
        </is>
      </c>
    </row>
    <row r="1415">
      <c r="A1415" s="40" t="inlineStr">
        <is>
          <t>5006829-49.2018.4.04.7204</t>
        </is>
      </c>
      <c r="B1415" s="40" t="inlineStr">
        <is>
          <t>Outras</t>
        </is>
      </c>
      <c r="D1415" s="67" t="inlineStr">
        <is>
          <t>Renata Francisco Becker</t>
        </is>
      </c>
      <c r="E1415" s="62" t="n">
        <v>44719</v>
      </c>
      <c r="F1415" s="67" t="inlineStr">
        <is>
          <t>Juízo Federal da 4ª VF de Criciúma</t>
        </is>
      </c>
      <c r="I1415" s="67" t="inlineStr">
        <is>
          <t>50130805120248240004</t>
        </is>
      </c>
      <c r="J1415" s="67" t="inlineStr">
        <is>
          <t>Prazo</t>
        </is>
      </c>
      <c r="K1415" s="62" t="n">
        <v>46077</v>
      </c>
      <c r="L1415" s="67" t="inlineStr">
        <is>
          <t>Ronaldo Koyama</t>
        </is>
      </c>
      <c r="M1415" s="40" t="inlineStr">
        <is>
          <t>Cumprido</t>
        </is>
      </c>
      <c r="N1415" s="62" t="n">
        <v>46077</v>
      </c>
      <c r="O1415" s="67" t="inlineStr">
        <is>
          <t>Prazo</t>
        </is>
      </c>
    </row>
    <row r="1416">
      <c r="A1416" s="40" t="n"/>
      <c r="B1416" s="40" t="inlineStr">
        <is>
          <t>Outras</t>
        </is>
      </c>
      <c r="D1416" s="67" t="inlineStr">
        <is>
          <t>Renata Francisco Becker</t>
        </is>
      </c>
      <c r="E1416" s="62" t="n">
        <v>45495</v>
      </c>
      <c r="I1416" s="67" t="inlineStr">
        <is>
          <t>0000579-26.2017.5.12.0055</t>
        </is>
      </c>
      <c r="J1416" s="67" t="inlineStr">
        <is>
          <t>Prazo</t>
        </is>
      </c>
      <c r="K1416" s="62" t="n">
        <v>46077</v>
      </c>
      <c r="L1416" s="67" t="inlineStr">
        <is>
          <t>Luci</t>
        </is>
      </c>
      <c r="M1416" s="40" t="inlineStr">
        <is>
          <t>Cumprido</t>
        </is>
      </c>
      <c r="N1416" s="62" t="n">
        <v>46077</v>
      </c>
      <c r="O1416" s="67" t="inlineStr">
        <is>
          <t>Prazo</t>
        </is>
      </c>
    </row>
    <row r="1417">
      <c r="A1417" s="40" t="inlineStr">
        <is>
          <t>0300984-51.2018.8.24.0028</t>
        </is>
      </c>
      <c r="B1417" s="40" t="inlineStr">
        <is>
          <t>Outras</t>
        </is>
      </c>
      <c r="D1417" s="67" t="inlineStr">
        <is>
          <t>Renata Francisco Becker</t>
        </is>
      </c>
      <c r="E1417" s="62" t="n">
        <v>44701</v>
      </c>
      <c r="F1417" s="67" t="inlineStr">
        <is>
          <t>2ª Vara</t>
        </is>
      </c>
      <c r="I1417" s="67" t="inlineStr">
        <is>
          <t>5029778-84.2024.8.24.0020</t>
        </is>
      </c>
      <c r="J1417" s="67" t="inlineStr">
        <is>
          <t>Prazo</t>
        </is>
      </c>
      <c r="K1417" s="62" t="n">
        <v>46077</v>
      </c>
      <c r="L1417" s="67" t="inlineStr">
        <is>
          <t>Ronaldo Koyama</t>
        </is>
      </c>
      <c r="M1417" s="40" t="inlineStr">
        <is>
          <t>Cumprido</t>
        </is>
      </c>
      <c r="N1417" s="62" t="n">
        <v>46077</v>
      </c>
      <c r="O1417" s="67" t="inlineStr">
        <is>
          <t>Prazo</t>
        </is>
      </c>
    </row>
    <row r="1418">
      <c r="A1418" s="40" t="inlineStr">
        <is>
          <t>5006520-55.2023.8.24.0028</t>
        </is>
      </c>
      <c r="B1418" s="40" t="inlineStr">
        <is>
          <t>Outras</t>
        </is>
      </c>
      <c r="D1418" s="67" t="inlineStr">
        <is>
          <t>Pedro Victor</t>
        </is>
      </c>
      <c r="E1418" s="62" t="n">
        <v>45343</v>
      </c>
      <c r="F1418" s="67" t="inlineStr">
        <is>
          <t>Juízo da 2ª Vara Cível da Comarca de Içara</t>
        </is>
      </c>
      <c r="I1418" s="67" t="inlineStr">
        <is>
          <t>5019809-11.2025.8.24.0020</t>
        </is>
      </c>
      <c r="J1418" s="67" t="inlineStr">
        <is>
          <t>Prazo</t>
        </is>
      </c>
      <c r="K1418" s="62" t="n">
        <v>46077</v>
      </c>
      <c r="L1418" s="67" t="inlineStr">
        <is>
          <t>Ronaldo Koyama</t>
        </is>
      </c>
      <c r="M1418" s="40" t="inlineStr">
        <is>
          <t>Cumprido</t>
        </is>
      </c>
      <c r="N1418" s="62" t="n">
        <v>46077</v>
      </c>
      <c r="O1418" s="67" t="inlineStr">
        <is>
          <t>Prazo</t>
        </is>
      </c>
    </row>
    <row r="1419">
      <c r="A1419" s="40" t="inlineStr">
        <is>
          <t>5009860-36.2020.8.24.0020</t>
        </is>
      </c>
      <c r="B1419" s="40" t="inlineStr">
        <is>
          <t>Outras</t>
        </is>
      </c>
      <c r="D1419" s="67" t="inlineStr">
        <is>
          <t>Renata Francisco Becker</t>
        </is>
      </c>
      <c r="E1419" s="62" t="n">
        <v>44701</v>
      </c>
      <c r="F1419" s="67" t="inlineStr">
        <is>
          <t>Juizo Do Juizado Especial Civel Da Comarca De Criciuma</t>
        </is>
      </c>
      <c r="I1419" s="67" t="inlineStr">
        <is>
          <t>0000994-78.2025.5.12.0006</t>
        </is>
      </c>
      <c r="J1419" s="67" t="inlineStr">
        <is>
          <t>Prazo</t>
        </is>
      </c>
      <c r="K1419" s="62" t="n">
        <v>46077</v>
      </c>
      <c r="L1419" s="67" t="inlineStr">
        <is>
          <t>Luci</t>
        </is>
      </c>
      <c r="M1419" s="40" t="inlineStr">
        <is>
          <t>Cumprido</t>
        </is>
      </c>
      <c r="N1419" s="62" t="n">
        <v>46077</v>
      </c>
      <c r="O1419" s="67" t="inlineStr">
        <is>
          <t>Prazo</t>
        </is>
      </c>
    </row>
    <row r="1420">
      <c r="A1420" s="40" t="inlineStr">
        <is>
          <t>5006522-25.2023.8.24.0028</t>
        </is>
      </c>
      <c r="B1420" s="40" t="inlineStr">
        <is>
          <t>Outras</t>
        </is>
      </c>
      <c r="D1420" s="67" t="inlineStr">
        <is>
          <t>Pedro Victor</t>
        </is>
      </c>
      <c r="E1420" s="62" t="n">
        <v>45343</v>
      </c>
      <c r="F1420" s="67" t="inlineStr">
        <is>
          <t>Juízo da 2ª Vara Cível da Comarca de Içara</t>
        </is>
      </c>
      <c r="I1420" s="67" t="inlineStr"/>
      <c r="J1420" s="67" t="inlineStr">
        <is>
          <t>Prazo</t>
        </is>
      </c>
      <c r="K1420" s="62" t="n">
        <v>46077</v>
      </c>
      <c r="L1420" s="67" t="inlineStr">
        <is>
          <t xml:space="preserve">Lucas </t>
        </is>
      </c>
      <c r="M1420" s="40" t="inlineStr">
        <is>
          <t>Cumprido</t>
        </is>
      </c>
      <c r="N1420" s="62" t="n">
        <v>46077</v>
      </c>
      <c r="O1420" s="67" t="inlineStr">
        <is>
          <t>Verificar as ações de competência trabalhista</t>
        </is>
      </c>
    </row>
    <row r="1421">
      <c r="A1421" s="40" t="inlineStr">
        <is>
          <t>5006005-20.2023.8.24.0028</t>
        </is>
      </c>
      <c r="B1421" s="40" t="inlineStr">
        <is>
          <t>Outras</t>
        </is>
      </c>
      <c r="D1421" s="67" t="inlineStr">
        <is>
          <t>Renata Francisco Becker</t>
        </is>
      </c>
      <c r="E1421" s="62" t="n">
        <v>45223</v>
      </c>
      <c r="F1421" s="67" t="inlineStr"/>
      <c r="I1421" s="67" t="inlineStr">
        <is>
          <t>0000579-26.2017.5.12.0055</t>
        </is>
      </c>
      <c r="J1421" s="67" t="inlineStr">
        <is>
          <t>Tarefa</t>
        </is>
      </c>
      <c r="K1421" s="62" t="n">
        <v>46077</v>
      </c>
      <c r="L1421" s="67" t="inlineStr">
        <is>
          <t>Luci</t>
        </is>
      </c>
      <c r="M1421" s="40" t="inlineStr">
        <is>
          <t>Cumprido</t>
        </is>
      </c>
      <c r="N1421" s="62" t="n">
        <v>46077</v>
      </c>
      <c r="O1421" s="67" t="inlineStr">
        <is>
          <t>Protocolo</t>
        </is>
      </c>
    </row>
    <row r="1422">
      <c r="A1422" s="40" t="inlineStr">
        <is>
          <t>0524622-83.2014.8.05.0001</t>
        </is>
      </c>
      <c r="B1422" s="40" t="inlineStr">
        <is>
          <t>Outras</t>
        </is>
      </c>
      <c r="D1422" s="67" t="inlineStr">
        <is>
          <t>Renata Francisco Becker</t>
        </is>
      </c>
      <c r="E1422" s="62" t="n">
        <v>44774</v>
      </c>
      <c r="F1422" s="67" t="inlineStr">
        <is>
          <t>4ª Vara de Relações de Consumo - Salvador</t>
        </is>
      </c>
      <c r="I1422" s="67" t="inlineStr"/>
      <c r="J1422" s="67" t="inlineStr">
        <is>
          <t>Tarefa</t>
        </is>
      </c>
      <c r="K1422" s="62" t="n">
        <v>46077</v>
      </c>
      <c r="L1422" s="67" t="inlineStr">
        <is>
          <t>Pedro Victor</t>
        </is>
      </c>
      <c r="M1422" s="40" t="inlineStr">
        <is>
          <t>Cumprido</t>
        </is>
      </c>
      <c r="N1422" s="62" t="n">
        <v>46077</v>
      </c>
      <c r="O1422" s="67" t="inlineStr">
        <is>
          <t>Revisão</t>
        </is>
      </c>
    </row>
    <row r="1423">
      <c r="A1423" s="40" t="inlineStr">
        <is>
          <t>5004152-05.2020.8.24.0020</t>
        </is>
      </c>
      <c r="B1423" s="40" t="inlineStr">
        <is>
          <t>Outras</t>
        </is>
      </c>
      <c r="D1423" s="67" t="inlineStr">
        <is>
          <t>Renata Francisco Becker</t>
        </is>
      </c>
      <c r="E1423" s="62" t="n">
        <v>44701</v>
      </c>
      <c r="F1423" s="67" t="inlineStr">
        <is>
          <t>Juizo Da 3ª Vara Civel Da Comarca De Criciuma</t>
        </is>
      </c>
      <c r="I1423" s="67" t="inlineStr"/>
      <c r="J1423" s="67" t="inlineStr">
        <is>
          <t>Tarefa</t>
        </is>
      </c>
      <c r="K1423" s="62" t="n">
        <v>46077</v>
      </c>
      <c r="L1423" s="67" t="inlineStr">
        <is>
          <t>Pedro Victor</t>
        </is>
      </c>
      <c r="M1423" s="40" t="inlineStr">
        <is>
          <t>Cumprido</t>
        </is>
      </c>
      <c r="N1423" s="62" t="n">
        <v>46077</v>
      </c>
      <c r="O1423" s="67" t="inlineStr">
        <is>
          <t>Revisão</t>
        </is>
      </c>
    </row>
    <row r="1424">
      <c r="A1424" s="40" t="inlineStr">
        <is>
          <t>5015555-63.2023.8.24.0020</t>
        </is>
      </c>
      <c r="B1424" s="40" t="inlineStr">
        <is>
          <t>Outras</t>
        </is>
      </c>
      <c r="D1424" s="67" t="inlineStr">
        <is>
          <t>Renata Francisco Becker</t>
        </is>
      </c>
      <c r="E1424" s="62" t="n">
        <v>45448</v>
      </c>
      <c r="F1424" s="67" t="inlineStr">
        <is>
          <t>Juízo da 3ª Vara Cível da Comarca de Criciúma</t>
        </is>
      </c>
      <c r="I1424" s="67" t="inlineStr"/>
      <c r="J1424" s="67" t="inlineStr">
        <is>
          <t>Tarefa</t>
        </is>
      </c>
      <c r="K1424" s="62" t="n">
        <v>46077</v>
      </c>
      <c r="L1424" s="67" t="inlineStr">
        <is>
          <t>Pedro Victor</t>
        </is>
      </c>
      <c r="M1424" s="40" t="inlineStr">
        <is>
          <t>Cumprido</t>
        </is>
      </c>
      <c r="N1424" s="62" t="n">
        <v>46077</v>
      </c>
      <c r="O1424" s="67" t="inlineStr">
        <is>
          <t>Revisão</t>
        </is>
      </c>
    </row>
    <row r="1425">
      <c r="A1425" s="40" t="n"/>
      <c r="B1425" s="40" t="inlineStr">
        <is>
          <t>Outras</t>
        </is>
      </c>
      <c r="D1425" s="67" t="inlineStr">
        <is>
          <t>Renata Francisco Becker</t>
        </is>
      </c>
      <c r="E1425" s="62" t="n">
        <v>45432</v>
      </c>
      <c r="I1425" s="67" t="inlineStr"/>
      <c r="J1425" s="67" t="inlineStr">
        <is>
          <t>Tarefa</t>
        </is>
      </c>
      <c r="K1425" s="62" t="n">
        <v>46077</v>
      </c>
      <c r="L1425" s="67" t="inlineStr">
        <is>
          <t>Pedro Victor</t>
        </is>
      </c>
      <c r="M1425" s="40" t="inlineStr">
        <is>
          <t>Cumprido</t>
        </is>
      </c>
      <c r="N1425" s="62" t="n">
        <v>46077</v>
      </c>
      <c r="O1425" s="67" t="inlineStr">
        <is>
          <t>Revisão</t>
        </is>
      </c>
    </row>
    <row r="1426">
      <c r="A1426" s="40" t="n"/>
      <c r="B1426" s="40" t="inlineStr">
        <is>
          <t>Outras</t>
        </is>
      </c>
      <c r="D1426" s="67" t="inlineStr">
        <is>
          <t>Renata Francisco Becker</t>
        </is>
      </c>
      <c r="E1426" s="62" t="n">
        <v>45455</v>
      </c>
      <c r="I1426" s="67" t="inlineStr">
        <is>
          <t>0000579-26.2017.5.12.0055</t>
        </is>
      </c>
      <c r="J1426" s="67" t="inlineStr">
        <is>
          <t>Tarefa</t>
        </is>
      </c>
      <c r="K1426" s="62" t="n">
        <v>46077</v>
      </c>
      <c r="L1426" s="67" t="inlineStr">
        <is>
          <t>Pedro Victor</t>
        </is>
      </c>
      <c r="M1426" s="40" t="inlineStr">
        <is>
          <t>Cumprido</t>
        </is>
      </c>
      <c r="N1426" s="62" t="n">
        <v>46077</v>
      </c>
      <c r="O1426" s="67" t="inlineStr">
        <is>
          <t>Revisão</t>
        </is>
      </c>
    </row>
    <row r="1427">
      <c r="A1427" s="40" t="inlineStr">
        <is>
          <t>5001854-03.2019.8.24.0076</t>
        </is>
      </c>
      <c r="B1427" s="40" t="inlineStr">
        <is>
          <t>Outras</t>
        </is>
      </c>
      <c r="D1427" s="67" t="inlineStr">
        <is>
          <t>Renata Francisco Becker</t>
        </is>
      </c>
      <c r="E1427" s="62" t="n">
        <v>45209</v>
      </c>
      <c r="F1427" s="67" t="inlineStr"/>
      <c r="I1427" s="67" t="inlineStr"/>
      <c r="J1427" s="67" t="inlineStr">
        <is>
          <t>Tarefa</t>
        </is>
      </c>
      <c r="K1427" s="62" t="n">
        <v>46077</v>
      </c>
      <c r="L1427" s="67" t="inlineStr">
        <is>
          <t>Pedro Victor</t>
        </is>
      </c>
      <c r="M1427" s="40" t="inlineStr">
        <is>
          <t>Cumprido</t>
        </is>
      </c>
      <c r="N1427" s="62" t="n">
        <v>46077</v>
      </c>
      <c r="O1427" s="67" t="inlineStr">
        <is>
          <t xml:space="preserve">
Visita RD Transposrtes </t>
        </is>
      </c>
    </row>
    <row r="1428">
      <c r="A1428" s="40" t="inlineStr">
        <is>
          <t>0000688-49.2018.8.24.0175</t>
        </is>
      </c>
      <c r="B1428" s="40" t="inlineStr">
        <is>
          <t>Outras</t>
        </is>
      </c>
      <c r="D1428" s="67" t="inlineStr">
        <is>
          <t>Renata Francisco Becker</t>
        </is>
      </c>
      <c r="E1428" s="62" t="n">
        <v>44701</v>
      </c>
      <c r="F1428" s="67" t="inlineStr">
        <is>
          <t>Unidade Regional De Direito Bancario Do Litoral Sul Catarinense</t>
        </is>
      </c>
      <c r="I1428" s="67" t="inlineStr"/>
      <c r="J1428" s="67" t="inlineStr">
        <is>
          <t>Tarefa</t>
        </is>
      </c>
      <c r="K1428" s="62" t="n">
        <v>46077</v>
      </c>
      <c r="L1428" s="67" t="inlineStr">
        <is>
          <t>Marelize Controladoria</t>
        </is>
      </c>
      <c r="M1428" s="40" t="inlineStr">
        <is>
          <t>Cumprido</t>
        </is>
      </c>
      <c r="N1428" s="62" t="n">
        <v>46077</v>
      </c>
      <c r="O1428" s="67" t="inlineStr">
        <is>
          <t>24/02/2026 - Conferir prazos no TJs - TJSC - TJRS - TRT12 - TRF4 - JFSC - TJRJ - TJPR - TJPA - TJSP - TJGO;</t>
        </is>
      </c>
    </row>
    <row r="1429">
      <c r="A1429" s="40" t="inlineStr">
        <is>
          <t>0300320-83.2019.8.24.0028</t>
        </is>
      </c>
      <c r="B1429" s="40" t="inlineStr">
        <is>
          <t>Outras</t>
        </is>
      </c>
      <c r="D1429" s="67" t="inlineStr">
        <is>
          <t>Renata Francisco Becker</t>
        </is>
      </c>
      <c r="E1429" s="62" t="n">
        <v>44701</v>
      </c>
      <c r="F1429" s="67" t="inlineStr">
        <is>
          <t>1ª Vara</t>
        </is>
      </c>
      <c r="I1429" s="67" t="inlineStr"/>
      <c r="J1429" s="67" t="inlineStr">
        <is>
          <t>Tarefa</t>
        </is>
      </c>
      <c r="K1429" s="62" t="n">
        <v>46077</v>
      </c>
      <c r="L1429" s="67" t="inlineStr">
        <is>
          <t>Jessica</t>
        </is>
      </c>
      <c r="M1429" s="40" t="inlineStr">
        <is>
          <t>Cumprido</t>
        </is>
      </c>
      <c r="N1429" s="62" t="n">
        <v>46077</v>
      </c>
      <c r="O1429" s="67" t="inlineStr">
        <is>
          <t>24/02/2026 - EMITIR GUIAS TRANSAÇÃO SIDNEI - portal Regularize - enviar até dia 27 de cada mês</t>
        </is>
      </c>
    </row>
    <row r="1430">
      <c r="A1430" s="40" t="n"/>
      <c r="B1430" s="40" t="inlineStr">
        <is>
          <t>Outras</t>
        </is>
      </c>
      <c r="D1430" s="67" t="inlineStr">
        <is>
          <t>Renata Francisco Becker</t>
        </is>
      </c>
      <c r="E1430" s="62" t="n">
        <v>45470</v>
      </c>
      <c r="I1430" s="67" t="inlineStr"/>
      <c r="J1430" s="67" t="inlineStr">
        <is>
          <t>Tarefa</t>
        </is>
      </c>
      <c r="K1430" s="62" t="n">
        <v>46077</v>
      </c>
      <c r="L1430" s="67" t="inlineStr">
        <is>
          <t>Marelize Controladoria</t>
        </is>
      </c>
      <c r="M1430" s="40" t="inlineStr">
        <is>
          <t>Cumprido</t>
        </is>
      </c>
      <c r="N1430" s="62" t="n">
        <v>46077</v>
      </c>
      <c r="O1430" s="67" t="inlineStr">
        <is>
          <t>24/02/2026 - Fazer Agendas.</t>
        </is>
      </c>
    </row>
    <row r="1431">
      <c r="A1431" s="40" t="n"/>
      <c r="B1431" s="40" t="inlineStr">
        <is>
          <t>Outras</t>
        </is>
      </c>
      <c r="D1431" s="67" t="inlineStr">
        <is>
          <t>Pedro Victor</t>
        </is>
      </c>
      <c r="E1431" s="62" t="n">
        <v>45393</v>
      </c>
      <c r="I1431" s="67" t="inlineStr"/>
      <c r="J1431" s="67" t="inlineStr">
        <is>
          <t>Tarefa</t>
        </is>
      </c>
      <c r="K1431" s="62" t="n">
        <v>46077</v>
      </c>
      <c r="L1431" s="67" t="inlineStr">
        <is>
          <t>Marelize Controladoria</t>
        </is>
      </c>
      <c r="M1431" s="40" t="inlineStr">
        <is>
          <t>Cumprido</t>
        </is>
      </c>
      <c r="N1431" s="62" t="n">
        <v>46077</v>
      </c>
      <c r="O1431" s="67" t="inlineStr">
        <is>
          <t>24/02/2026 - Fazer Publicações.</t>
        </is>
      </c>
    </row>
    <row r="1432">
      <c r="A1432" s="40" t="inlineStr">
        <is>
          <t>0000474-60.2022.5.12.0027</t>
        </is>
      </c>
      <c r="B1432" s="40" t="inlineStr">
        <is>
          <t>Outras</t>
        </is>
      </c>
      <c r="D1432" s="67" t="inlineStr">
        <is>
          <t>Renata Francisco Becker</t>
        </is>
      </c>
      <c r="E1432" s="62" t="n">
        <v>44809</v>
      </c>
      <c r="F1432" s="67" t="inlineStr"/>
      <c r="I1432" s="67" t="inlineStr"/>
      <c r="J1432" s="67" t="inlineStr">
        <is>
          <t>Tarefa</t>
        </is>
      </c>
      <c r="K1432" s="62" t="n">
        <v>46077</v>
      </c>
      <c r="L1432" s="67" t="inlineStr">
        <is>
          <t>Marelize Controladoria</t>
        </is>
      </c>
      <c r="M1432" s="40" t="inlineStr">
        <is>
          <t>Cumprido</t>
        </is>
      </c>
      <c r="N1432" s="62" t="n">
        <v>46077</v>
      </c>
      <c r="O1432" s="67" t="inlineStr">
        <is>
          <t>24/02/2026 - Olhar E-mails.</t>
        </is>
      </c>
    </row>
    <row r="1433">
      <c r="A1433" s="40" t="inlineStr">
        <is>
          <t>50314099720238240020</t>
        </is>
      </c>
      <c r="B1433" s="40" t="inlineStr">
        <is>
          <t>Outras</t>
        </is>
      </c>
      <c r="D1433" s="67" t="inlineStr">
        <is>
          <t>Renata Francisco Becker</t>
        </is>
      </c>
      <c r="E1433" s="62" t="n">
        <v>45267</v>
      </c>
      <c r="F1433" s="67" t="inlineStr"/>
      <c r="I1433" s="67" t="inlineStr">
        <is>
          <t>5008261-61.2019.8.24.0064</t>
        </is>
      </c>
      <c r="J1433" s="67" t="inlineStr">
        <is>
          <t>Tarefa</t>
        </is>
      </c>
      <c r="K1433" s="62" t="n">
        <v>46077</v>
      </c>
      <c r="L1433" s="67" t="inlineStr">
        <is>
          <t>Pedro Victor</t>
        </is>
      </c>
      <c r="M1433" s="40" t="inlineStr">
        <is>
          <t>Cumprido</t>
        </is>
      </c>
      <c r="N1433" s="62" t="n">
        <v>46077</v>
      </c>
      <c r="O1433" s="67" t="inlineStr">
        <is>
          <t xml:space="preserve">cobrar retorno do orçamento </t>
        </is>
      </c>
    </row>
    <row r="1434">
      <c r="A1434" s="40" t="inlineStr">
        <is>
          <t>50000377220248240028</t>
        </is>
      </c>
      <c r="B1434" s="40" t="inlineStr">
        <is>
          <t>Outras</t>
        </is>
      </c>
      <c r="D1434" s="67" t="inlineStr">
        <is>
          <t>Renata Francisco Becker</t>
        </is>
      </c>
      <c r="E1434" s="62" t="n">
        <v>45439</v>
      </c>
      <c r="F1434" s="67" t="inlineStr"/>
      <c r="I1434" s="67" t="inlineStr"/>
      <c r="J1434" s="67" t="inlineStr">
        <is>
          <t>Tarefa</t>
        </is>
      </c>
      <c r="K1434" s="62" t="n">
        <v>46077</v>
      </c>
      <c r="L1434" s="67" t="inlineStr">
        <is>
          <t>Jessica</t>
        </is>
      </c>
      <c r="M1434" s="40" t="inlineStr">
        <is>
          <t>Cumprido</t>
        </is>
      </c>
      <c r="N1434" s="62" t="n">
        <v>46077</v>
      </c>
      <c r="O1434" s="67" t="inlineStr">
        <is>
          <t>Finalização</t>
        </is>
      </c>
    </row>
    <row r="1435">
      <c r="A1435" s="40" t="inlineStr">
        <is>
          <t>5016856-33.2014.4.04.7204</t>
        </is>
      </c>
      <c r="B1435" s="40" t="inlineStr">
        <is>
          <t>Outras</t>
        </is>
      </c>
      <c r="D1435" s="67" t="inlineStr">
        <is>
          <t>Pedro Victor</t>
        </is>
      </c>
      <c r="E1435" s="62" t="n">
        <v>45415</v>
      </c>
      <c r="F1435" s="67" t="inlineStr"/>
      <c r="I1435" s="67" t="inlineStr"/>
      <c r="J1435" s="67" t="inlineStr">
        <is>
          <t>Tarefa</t>
        </is>
      </c>
      <c r="K1435" s="62" t="n">
        <v>46077</v>
      </c>
      <c r="L1435" s="67" t="inlineStr">
        <is>
          <t>Jessica</t>
        </is>
      </c>
      <c r="M1435" s="40" t="inlineStr">
        <is>
          <t>Cumprido</t>
        </is>
      </c>
      <c r="N1435" s="62" t="n">
        <v>46077</v>
      </c>
      <c r="O1435" s="67" t="inlineStr">
        <is>
          <t>Finalização</t>
        </is>
      </c>
    </row>
    <row r="1436">
      <c r="A1436" s="40" t="inlineStr">
        <is>
          <t>5012156-94.2021.8.24.0020</t>
        </is>
      </c>
      <c r="B1436" s="40" t="inlineStr">
        <is>
          <t>Outras</t>
        </is>
      </c>
      <c r="D1436" s="67" t="inlineStr">
        <is>
          <t>Renata Francisco Becker</t>
        </is>
      </c>
      <c r="E1436" s="62" t="n">
        <v>44722</v>
      </c>
      <c r="F1436" s="67" t="inlineStr">
        <is>
          <t>Juízo da 4ª Vara Cível da Comarca de Criciúma</t>
        </is>
      </c>
      <c r="I1436" s="67" t="inlineStr">
        <is>
          <t>5040768-85.2025.4.04.7200</t>
        </is>
      </c>
      <c r="J1436" s="67" t="inlineStr">
        <is>
          <t>Tarefa</t>
        </is>
      </c>
      <c r="K1436" s="62" t="n">
        <v>46077</v>
      </c>
      <c r="L1436" s="67" t="inlineStr">
        <is>
          <t>Jessica</t>
        </is>
      </c>
      <c r="M1436" s="40" t="inlineStr">
        <is>
          <t>Cumprido</t>
        </is>
      </c>
      <c r="N1436" s="62" t="n">
        <v>46077</v>
      </c>
      <c r="O1436" s="67" t="inlineStr">
        <is>
          <t>Protocolo</t>
        </is>
      </c>
    </row>
    <row r="1437">
      <c r="A1437" s="40" t="inlineStr">
        <is>
          <t>5001758-67.2023.8.24.0166</t>
        </is>
      </c>
      <c r="B1437" s="40" t="inlineStr">
        <is>
          <t>Outras</t>
        </is>
      </c>
      <c r="D1437" s="67" t="inlineStr">
        <is>
          <t>Renata Francisco Becker</t>
        </is>
      </c>
      <c r="E1437" s="62" t="n">
        <v>45126</v>
      </c>
      <c r="F1437" s="67" t="inlineStr">
        <is>
          <t>Juízo da Vara Única da Comarca de Forquilhinha</t>
        </is>
      </c>
      <c r="I1437" s="67" t="inlineStr"/>
      <c r="J1437" s="67" t="inlineStr">
        <is>
          <t>Tarefa</t>
        </is>
      </c>
      <c r="K1437" s="62" t="n">
        <v>46077</v>
      </c>
      <c r="L1437" s="67" t="inlineStr">
        <is>
          <t>Jessica</t>
        </is>
      </c>
      <c r="M1437" s="40" t="inlineStr">
        <is>
          <t>Cumprido</t>
        </is>
      </c>
      <c r="N1437" s="62" t="n">
        <v>46077</v>
      </c>
      <c r="O1437" s="67" t="inlineStr">
        <is>
          <t>retificação das competências</t>
        </is>
      </c>
    </row>
    <row r="1438">
      <c r="A1438" s="40" t="inlineStr">
        <is>
          <t>0000474-60.2022.5.12.0027</t>
        </is>
      </c>
      <c r="B1438" s="40" t="inlineStr">
        <is>
          <t>Outras</t>
        </is>
      </c>
      <c r="D1438" s="67" t="inlineStr">
        <is>
          <t>Pedro Victor</t>
        </is>
      </c>
      <c r="E1438" s="62" t="n">
        <v>44804</v>
      </c>
      <c r="F1438" s="67" t="inlineStr">
        <is>
          <t>CEJUSC-JT/Criciuma</t>
        </is>
      </c>
      <c r="I1438" s="67" t="inlineStr">
        <is>
          <t>0000959-89.2024.5.12.0027</t>
        </is>
      </c>
      <c r="J1438" s="67" t="inlineStr">
        <is>
          <t>Tarefa</t>
        </is>
      </c>
      <c r="K1438" s="62" t="n">
        <v>46077</v>
      </c>
      <c r="L1438" s="67" t="inlineStr">
        <is>
          <t>Luci</t>
        </is>
      </c>
      <c r="M1438" s="40" t="inlineStr">
        <is>
          <t>Cumprido</t>
        </is>
      </c>
      <c r="N1438" s="62" t="n">
        <v>46077</v>
      </c>
      <c r="O1438" s="67" t="inlineStr">
        <is>
          <t>RETORNO URGENTE - Catia Cielene filha dela deseja saber como está o processo.</t>
        </is>
      </c>
    </row>
    <row r="1439">
      <c r="A1439" s="40" t="inlineStr">
        <is>
          <t>0000269-69.2023.5.12.0003</t>
        </is>
      </c>
      <c r="B1439" s="40" t="inlineStr">
        <is>
          <t>Outras</t>
        </is>
      </c>
      <c r="D1439" s="67" t="inlineStr">
        <is>
          <t>Renata Francisco Becker</t>
        </is>
      </c>
      <c r="E1439" s="62" t="n">
        <v>45028</v>
      </c>
      <c r="F1439" s="67" t="inlineStr">
        <is>
          <t>1ª VARA DO TRABALHO DE CRICIÚMA</t>
        </is>
      </c>
      <c r="I1439" s="67" t="inlineStr">
        <is>
          <t>5006478-59.2025.8.24.0020</t>
        </is>
      </c>
      <c r="J1439" s="67" t="inlineStr">
        <is>
          <t>Tarefa</t>
        </is>
      </c>
      <c r="K1439" s="62" t="n">
        <v>46077</v>
      </c>
      <c r="L1439" s="67" t="inlineStr">
        <is>
          <t>Pedro Victor</t>
        </is>
      </c>
      <c r="M1439" s="40" t="inlineStr">
        <is>
          <t>Cumprido</t>
        </is>
      </c>
      <c r="N1439" s="62" t="n">
        <v>46077</v>
      </c>
      <c r="O1439" s="67" t="inlineStr">
        <is>
          <t>Revisão</t>
        </is>
      </c>
    </row>
    <row r="1440">
      <c r="A1440" s="40" t="inlineStr">
        <is>
          <t>00002826820235120003</t>
        </is>
      </c>
      <c r="B1440" s="40" t="inlineStr">
        <is>
          <t>Outras</t>
        </is>
      </c>
      <c r="D1440" s="67" t="inlineStr">
        <is>
          <t>Pedro Victor</t>
        </is>
      </c>
      <c r="E1440" s="62" t="n">
        <v>45064</v>
      </c>
      <c r="F1440" s="67" t="inlineStr">
        <is>
          <t>1ª VARA DO TRABALHO DE CRICIÚMA</t>
        </is>
      </c>
      <c r="I1440" s="67" t="inlineStr"/>
      <c r="J1440" s="67" t="inlineStr">
        <is>
          <t>Tarefa</t>
        </is>
      </c>
      <c r="K1440" s="62" t="n">
        <v>46077</v>
      </c>
      <c r="L1440" s="67" t="inlineStr">
        <is>
          <t>Pedro Victor</t>
        </is>
      </c>
      <c r="M1440" s="40" t="inlineStr">
        <is>
          <t>Cumprido</t>
        </is>
      </c>
      <c r="N1440" s="62" t="n">
        <v>46077</v>
      </c>
      <c r="O1440" s="67" t="inlineStr">
        <is>
          <t>Revisão</t>
        </is>
      </c>
    </row>
    <row r="1441">
      <c r="A1441" s="40" t="inlineStr">
        <is>
          <t>50188118220218240020</t>
        </is>
      </c>
      <c r="B1441" s="40" t="inlineStr">
        <is>
          <t>Outras</t>
        </is>
      </c>
      <c r="D1441" s="67" t="inlineStr">
        <is>
          <t>Renata Francisco Becker</t>
        </is>
      </c>
      <c r="E1441" s="62" t="n">
        <v>44844</v>
      </c>
      <c r="F1441" s="67" t="inlineStr"/>
      <c r="I1441" s="67" t="inlineStr">
        <is>
          <t>5001164-58.2020.8.24.0166</t>
        </is>
      </c>
      <c r="J1441" s="67" t="inlineStr">
        <is>
          <t>Tarefa</t>
        </is>
      </c>
      <c r="K1441" s="62" t="n">
        <v>46077</v>
      </c>
      <c r="L1441" s="67" t="inlineStr">
        <is>
          <t>Pedro Victor</t>
        </is>
      </c>
      <c r="M1441" s="40" t="inlineStr">
        <is>
          <t>Cumprido</t>
        </is>
      </c>
      <c r="N1441" s="62" t="n">
        <v>46077</v>
      </c>
      <c r="O1441" s="67" t="inlineStr">
        <is>
          <t>Revisão</t>
        </is>
      </c>
    </row>
    <row r="1442">
      <c r="A1442" s="40" t="inlineStr">
        <is>
          <t>0000269-69.2023.5.12.0003</t>
        </is>
      </c>
      <c r="B1442" s="40" t="inlineStr">
        <is>
          <t>Outras</t>
        </is>
      </c>
      <c r="D1442" s="67" t="inlineStr">
        <is>
          <t>Pedro Victor</t>
        </is>
      </c>
      <c r="E1442" s="62" t="n">
        <v>45006</v>
      </c>
      <c r="F1442" s="67" t="inlineStr"/>
      <c r="I1442" s="67" t="inlineStr"/>
      <c r="J1442" s="67" t="inlineStr">
        <is>
          <t>Tarefa</t>
        </is>
      </c>
      <c r="K1442" s="62" t="n">
        <v>46077</v>
      </c>
      <c r="L1442" s="67" t="inlineStr">
        <is>
          <t>Pedro Victor</t>
        </is>
      </c>
      <c r="M1442" s="40" t="inlineStr">
        <is>
          <t>Cumprido</t>
        </is>
      </c>
      <c r="N1442" s="62" t="n">
        <v>46077</v>
      </c>
      <c r="O1442" s="67" t="inlineStr">
        <is>
          <t>Revisão</t>
        </is>
      </c>
    </row>
    <row r="1443">
      <c r="A1443" s="40" t="inlineStr">
        <is>
          <t>50092751120208240011</t>
        </is>
      </c>
      <c r="B1443" s="40" t="inlineStr">
        <is>
          <t>Outras</t>
        </is>
      </c>
      <c r="D1443" s="67" t="inlineStr">
        <is>
          <t>Renata Francisco Becker</t>
        </is>
      </c>
      <c r="E1443" s="62" t="n">
        <v>45243</v>
      </c>
      <c r="F1443" s="67" t="inlineStr"/>
      <c r="I1443" s="67" t="inlineStr">
        <is>
          <t>0001610-62.2025.5.12.0003</t>
        </is>
      </c>
      <c r="J1443" s="67" t="inlineStr">
        <is>
          <t>Tarefa</t>
        </is>
      </c>
      <c r="K1443" s="62" t="n">
        <v>46077</v>
      </c>
      <c r="L1443" s="67" t="inlineStr">
        <is>
          <t>Pedro Victor</t>
        </is>
      </c>
      <c r="M1443" s="40" t="inlineStr">
        <is>
          <t>Cumprido</t>
        </is>
      </c>
      <c r="N1443" s="62" t="n">
        <v>46077</v>
      </c>
      <c r="O1443" s="67" t="inlineStr">
        <is>
          <t>Revisão</t>
        </is>
      </c>
    </row>
    <row r="1444">
      <c r="A1444" s="40" t="inlineStr">
        <is>
          <t>0000740-60.2022.5.12.0055</t>
        </is>
      </c>
      <c r="B1444" s="40" t="inlineStr">
        <is>
          <t>Outras</t>
        </is>
      </c>
      <c r="D1444" s="67" t="inlineStr">
        <is>
          <t>Renata Francisco Becker</t>
        </is>
      </c>
      <c r="E1444" s="62" t="n">
        <v>44861</v>
      </c>
      <c r="F1444" s="67" t="inlineStr">
        <is>
          <t>4ª VARA DO TRABALHO DE CRICIÚMA</t>
        </is>
      </c>
      <c r="I1444" s="67" t="inlineStr"/>
      <c r="J1444" s="67" t="inlineStr">
        <is>
          <t>Tarefa</t>
        </is>
      </c>
      <c r="K1444" s="62" t="n">
        <v>46077</v>
      </c>
      <c r="L1444" s="67" t="inlineStr">
        <is>
          <t>Pedro Victor</t>
        </is>
      </c>
      <c r="M1444" s="40" t="inlineStr">
        <is>
          <t>Cumprido</t>
        </is>
      </c>
      <c r="N1444" s="62" t="n">
        <v>46077</v>
      </c>
      <c r="O1444" s="67" t="inlineStr">
        <is>
          <t>Revisão</t>
        </is>
      </c>
    </row>
    <row r="1445">
      <c r="A1445" s="40" t="n"/>
      <c r="B1445" s="40" t="inlineStr">
        <is>
          <t>Outras</t>
        </is>
      </c>
      <c r="D1445" s="67" t="inlineStr">
        <is>
          <t>Renata Francisco Becker</t>
        </is>
      </c>
      <c r="E1445" s="62" t="n">
        <v>45439</v>
      </c>
      <c r="I1445" s="67" t="inlineStr"/>
      <c r="J1445" s="67" t="inlineStr">
        <is>
          <t>Tarefa</t>
        </is>
      </c>
      <c r="K1445" s="62" t="n">
        <v>46077</v>
      </c>
      <c r="L1445" s="67" t="inlineStr">
        <is>
          <t>Pedro Victor</t>
        </is>
      </c>
      <c r="M1445" s="40" t="inlineStr">
        <is>
          <t>Cumprido</t>
        </is>
      </c>
      <c r="N1445" s="62" t="n">
        <v>46077</v>
      </c>
      <c r="O1445" s="67" t="inlineStr">
        <is>
          <t>Revisão</t>
        </is>
      </c>
    </row>
    <row r="1446">
      <c r="A1446" s="40" t="inlineStr">
        <is>
          <t>0313074-86.2016.8.24.0020</t>
        </is>
      </c>
      <c r="B1446" s="40" t="inlineStr">
        <is>
          <t>Outras</t>
        </is>
      </c>
      <c r="D1446" s="67" t="inlineStr">
        <is>
          <t>Renata Francisco Becker</t>
        </is>
      </c>
      <c r="E1446" s="62" t="n">
        <v>45098</v>
      </c>
      <c r="F1446" s="67" t="inlineStr">
        <is>
          <t>Juízo da 2ª Vara da Fazenda Pública da Comarca de Criciúma</t>
        </is>
      </c>
      <c r="I1446" s="67" t="inlineStr"/>
      <c r="J1446" s="67" t="inlineStr">
        <is>
          <t>Evento</t>
        </is>
      </c>
      <c r="K1446" s="62" t="n">
        <v>46077</v>
      </c>
      <c r="L1446" s="67" t="inlineStr">
        <is>
          <t>Marelize Controladoria</t>
        </is>
      </c>
      <c r="M1446" s="40" t="inlineStr">
        <is>
          <t>Cumprido</t>
        </is>
      </c>
      <c r="N1446" s="62" t="n">
        <v>46077</v>
      </c>
      <c r="O1446" s="67" t="inlineStr">
        <is>
          <t>Reunião de Alinhamento KARIA</t>
        </is>
      </c>
    </row>
    <row r="1447">
      <c r="A1447" s="40" t="inlineStr">
        <is>
          <t>0300184-72.2015.8.24.0078</t>
        </is>
      </c>
      <c r="B1447" s="40" t="inlineStr">
        <is>
          <t>Outras</t>
        </is>
      </c>
      <c r="D1447" s="67" t="inlineStr">
        <is>
          <t>Renata Francisco Becker</t>
        </is>
      </c>
      <c r="E1447" s="62" t="n">
        <v>44701</v>
      </c>
      <c r="F1447" s="67" t="inlineStr">
        <is>
          <t>Juizo Da Unidade Regional De Direito Bancario Do Litoral Sul Catarinense Da Comarca De Meleiro</t>
        </is>
      </c>
      <c r="I1447" s="67" t="inlineStr"/>
      <c r="J1447" s="67" t="inlineStr">
        <is>
          <t>Prazo</t>
        </is>
      </c>
      <c r="K1447" s="62" t="n">
        <v>46078</v>
      </c>
      <c r="L1447" s="67" t="inlineStr">
        <is>
          <t>Ronaldo Koyama</t>
        </is>
      </c>
      <c r="M1447" s="40" t="inlineStr">
        <is>
          <t>Cumprido</t>
        </is>
      </c>
      <c r="N1447" s="62" t="n">
        <v>46078</v>
      </c>
      <c r="O1447" s="67" t="inlineStr">
        <is>
          <t>Aditivo contratual para retomada de pagamentos (Daliano Mattos)</t>
        </is>
      </c>
    </row>
    <row r="1448">
      <c r="A1448" s="40" t="n"/>
      <c r="B1448" s="40" t="inlineStr">
        <is>
          <t>Outras</t>
        </is>
      </c>
      <c r="D1448" s="67" t="inlineStr">
        <is>
          <t>Renata Francisco Becker</t>
        </is>
      </c>
      <c r="E1448" s="62" t="n">
        <v>45076</v>
      </c>
      <c r="I1448" s="67" t="inlineStr"/>
      <c r="J1448" s="67" t="inlineStr">
        <is>
          <t>Prazo</t>
        </is>
      </c>
      <c r="K1448" s="62" t="n">
        <v>46078</v>
      </c>
      <c r="L1448" s="67" t="inlineStr">
        <is>
          <t>Luci</t>
        </is>
      </c>
      <c r="M1448" s="40" t="inlineStr">
        <is>
          <t>Cumprido</t>
        </is>
      </c>
      <c r="N1448" s="62" t="n">
        <v>46078</v>
      </c>
      <c r="O1448" s="67" t="inlineStr">
        <is>
          <t>ANALISE - Elaborar um documento de desconto de salario do funcionario</t>
        </is>
      </c>
    </row>
    <row r="1449">
      <c r="A1449" s="40" t="inlineStr">
        <is>
          <t>5027258-88.2023.8.24.0020</t>
        </is>
      </c>
      <c r="B1449" s="40" t="inlineStr">
        <is>
          <t>Outras</t>
        </is>
      </c>
      <c r="D1449" s="67" t="inlineStr">
        <is>
          <t>Renata Francisco Becker</t>
        </is>
      </c>
      <c r="E1449" s="62" t="n">
        <v>45229</v>
      </c>
      <c r="F1449" s="67" t="inlineStr"/>
      <c r="I1449" s="67" t="inlineStr">
        <is>
          <t>5029854-74.2025.8.24.0020</t>
        </is>
      </c>
      <c r="J1449" s="67" t="inlineStr">
        <is>
          <t>Prazo</t>
        </is>
      </c>
      <c r="K1449" s="62" t="n">
        <v>46078</v>
      </c>
      <c r="L1449" s="67" t="inlineStr">
        <is>
          <t xml:space="preserve">Alexia </t>
        </is>
      </c>
      <c r="M1449" s="40" t="inlineStr">
        <is>
          <t>Cumprido</t>
        </is>
      </c>
      <c r="N1449" s="62" t="n">
        <v>46078</v>
      </c>
      <c r="O1449" s="67" t="inlineStr">
        <is>
          <t>Embargos de Declaração</t>
        </is>
      </c>
    </row>
    <row r="1450">
      <c r="A1450" s="40" t="inlineStr">
        <is>
          <t>50081815920248240020</t>
        </is>
      </c>
      <c r="B1450" s="40" t="inlineStr">
        <is>
          <t>Outras</t>
        </is>
      </c>
      <c r="D1450" s="67" t="inlineStr">
        <is>
          <t>Pedro Victor</t>
        </is>
      </c>
      <c r="E1450" s="62" t="n">
        <v>45418</v>
      </c>
      <c r="F1450" s="67" t="inlineStr">
        <is>
          <t>Juízo da 4ª Vara Cível da Comarca de Criciúma</t>
        </is>
      </c>
      <c r="I1450" s="67" t="inlineStr">
        <is>
          <t>5020732-76.2021.8.24.0020</t>
        </is>
      </c>
      <c r="J1450" s="67" t="inlineStr">
        <is>
          <t>Prazo</t>
        </is>
      </c>
      <c r="K1450" s="62" t="n">
        <v>46078</v>
      </c>
      <c r="L1450" s="67" t="inlineStr">
        <is>
          <t xml:space="preserve">Alexia </t>
        </is>
      </c>
      <c r="M1450" s="40" t="inlineStr">
        <is>
          <t>Cumprido</t>
        </is>
      </c>
      <c r="N1450" s="62" t="n">
        <v>46078</v>
      </c>
      <c r="O1450" s="67" t="inlineStr">
        <is>
          <t>Emissão de Boleto</t>
        </is>
      </c>
    </row>
    <row r="1451">
      <c r="A1451" s="40" t="n"/>
      <c r="B1451" s="40" t="inlineStr">
        <is>
          <t>Outras</t>
        </is>
      </c>
      <c r="D1451" s="67" t="inlineStr">
        <is>
          <t>Pedro Victor</t>
        </is>
      </c>
      <c r="E1451" s="62" t="n">
        <v>45348</v>
      </c>
      <c r="I1451" s="67" t="inlineStr">
        <is>
          <t>5006478-59.2025.8.24.0020</t>
        </is>
      </c>
      <c r="J1451" s="67" t="inlineStr">
        <is>
          <t>Prazo</t>
        </is>
      </c>
      <c r="K1451" s="62" t="n">
        <v>46078</v>
      </c>
      <c r="L1451" s="67" t="inlineStr">
        <is>
          <t>Julia</t>
        </is>
      </c>
      <c r="M1451" s="40" t="inlineStr">
        <is>
          <t>Cumprido</t>
        </is>
      </c>
      <c r="N1451" s="62" t="n">
        <v>46078</v>
      </c>
      <c r="O1451" s="67" t="inlineStr">
        <is>
          <t>Fazer cumprimento de sentença</t>
        </is>
      </c>
    </row>
    <row r="1452">
      <c r="A1452" s="40" t="n"/>
      <c r="B1452" s="40" t="inlineStr">
        <is>
          <t>Outras</t>
        </is>
      </c>
      <c r="D1452" s="67" t="inlineStr">
        <is>
          <t>Renata Francisco Becker</t>
        </is>
      </c>
      <c r="E1452" s="62" t="n">
        <v>44812</v>
      </c>
      <c r="F1452" s="67" t="inlineStr"/>
      <c r="I1452" s="67" t="inlineStr">
        <is>
          <t>5000680-65.2026.8.24.0026</t>
        </is>
      </c>
      <c r="J1452" s="67" t="inlineStr">
        <is>
          <t>Prazo</t>
        </is>
      </c>
      <c r="K1452" s="62" t="n">
        <v>46078</v>
      </c>
      <c r="L1452" s="67" t="inlineStr">
        <is>
          <t xml:space="preserve">Alexia </t>
        </is>
      </c>
      <c r="M1452" s="40" t="inlineStr">
        <is>
          <t>Cumprido</t>
        </is>
      </c>
      <c r="N1452" s="62" t="n">
        <v>46078</v>
      </c>
      <c r="O1452" s="67" t="inlineStr">
        <is>
          <t>Manifestação Incompetencia TLZ</t>
        </is>
      </c>
    </row>
    <row r="1453">
      <c r="A1453" s="40" t="inlineStr">
        <is>
          <t>5005438-76.2024.8.24.0020</t>
        </is>
      </c>
      <c r="B1453" s="40" t="inlineStr">
        <is>
          <t>Outras</t>
        </is>
      </c>
      <c r="D1453" s="67" t="inlineStr">
        <is>
          <t>Renata Francisco Becker</t>
        </is>
      </c>
      <c r="E1453" s="62" t="n">
        <v>45401</v>
      </c>
      <c r="F1453" s="67" t="inlineStr">
        <is>
          <t>Vara Cível</t>
        </is>
      </c>
      <c r="I1453" s="67" t="inlineStr"/>
      <c r="J1453" s="67" t="inlineStr">
        <is>
          <t>Prazo</t>
        </is>
      </c>
      <c r="K1453" s="62" t="n">
        <v>46078</v>
      </c>
      <c r="L1453" s="67" t="inlineStr">
        <is>
          <t>Julia</t>
        </is>
      </c>
      <c r="M1453" s="40" t="inlineStr">
        <is>
          <t>Cumprido</t>
        </is>
      </c>
      <c r="N1453" s="62" t="n">
        <v>46078</v>
      </c>
      <c r="O1453" s="67" t="inlineStr">
        <is>
          <t>Orientação referente ao contrato de locação dos uniformes profissionais</t>
        </is>
      </c>
    </row>
    <row r="1454">
      <c r="A1454" s="40" t="inlineStr">
        <is>
          <t>0000810-30.2023.5.12.0027</t>
        </is>
      </c>
      <c r="B1454" s="40" t="inlineStr">
        <is>
          <t>Outras</t>
        </is>
      </c>
      <c r="D1454" s="67" t="inlineStr">
        <is>
          <t>Renata Francisco Becker</t>
        </is>
      </c>
      <c r="E1454" s="62" t="n">
        <v>45203</v>
      </c>
      <c r="F1454" s="67" t="inlineStr">
        <is>
          <t>2ª VARA DO TRABALHO DE CRICIÚMA</t>
        </is>
      </c>
      <c r="I1454" s="67" t="inlineStr">
        <is>
          <t>0001324-12.2025.5.12.0027</t>
        </is>
      </c>
      <c r="J1454" s="67" t="inlineStr">
        <is>
          <t>Prazo</t>
        </is>
      </c>
      <c r="K1454" s="62" t="n">
        <v>46078</v>
      </c>
      <c r="L1454" s="67" t="inlineStr">
        <is>
          <t>Luci</t>
        </is>
      </c>
      <c r="M1454" s="40" t="inlineStr">
        <is>
          <t>Cumprido</t>
        </is>
      </c>
      <c r="N1454" s="62" t="n">
        <v>46078</v>
      </c>
      <c r="O1454" s="67" t="inlineStr">
        <is>
          <t>Prazo</t>
        </is>
      </c>
    </row>
    <row r="1455">
      <c r="A1455" s="40" t="inlineStr">
        <is>
          <t>5014165-58.2023.8.24.0020</t>
        </is>
      </c>
      <c r="B1455" s="40" t="inlineStr">
        <is>
          <t>Outras</t>
        </is>
      </c>
      <c r="D1455" s="67" t="inlineStr">
        <is>
          <t>Renata Francisco Becker</t>
        </is>
      </c>
      <c r="E1455" s="62" t="n">
        <v>45127</v>
      </c>
      <c r="F1455" s="67" t="inlineStr">
        <is>
          <t>Juízo da 4ª Vara Cível da Comarca de Criciúma</t>
        </is>
      </c>
      <c r="I1455" s="67" t="inlineStr">
        <is>
          <t>4002678-64.2025.8.26.0576</t>
        </is>
      </c>
      <c r="J1455" s="67" t="inlineStr">
        <is>
          <t>Prazo</t>
        </is>
      </c>
      <c r="K1455" s="62" t="n">
        <v>46078</v>
      </c>
      <c r="L1455" s="67" t="inlineStr">
        <is>
          <t xml:space="preserve">Alexia </t>
        </is>
      </c>
      <c r="M1455" s="40" t="inlineStr">
        <is>
          <t>Cumprido</t>
        </is>
      </c>
      <c r="N1455" s="62" t="n">
        <v>46078</v>
      </c>
      <c r="O1455" s="67" t="inlineStr">
        <is>
          <t>Prazo</t>
        </is>
      </c>
    </row>
    <row r="1456">
      <c r="A1456" s="40" t="inlineStr">
        <is>
          <t>5003437-05.2023.8.24.0166</t>
        </is>
      </c>
      <c r="B1456" s="40" t="inlineStr">
        <is>
          <t>Outras</t>
        </is>
      </c>
      <c r="D1456" s="67" t="inlineStr">
        <is>
          <t>Renata Francisco Becker</t>
        </is>
      </c>
      <c r="E1456" s="62" t="n">
        <v>45337</v>
      </c>
      <c r="F1456" s="67" t="inlineStr"/>
      <c r="I1456" s="67" t="inlineStr">
        <is>
          <t>5008428-32.2026.8.24.0000</t>
        </is>
      </c>
      <c r="J1456" s="67" t="inlineStr">
        <is>
          <t>Prazo</t>
        </is>
      </c>
      <c r="K1456" s="62" t="n">
        <v>46078</v>
      </c>
      <c r="L1456" s="67" t="inlineStr">
        <is>
          <t xml:space="preserve">Alexia </t>
        </is>
      </c>
      <c r="M1456" s="40" t="inlineStr">
        <is>
          <t>Cumprido</t>
        </is>
      </c>
      <c r="N1456" s="62" t="n">
        <v>46078</v>
      </c>
      <c r="O1456" s="67" t="inlineStr">
        <is>
          <t>Prazo</t>
        </is>
      </c>
    </row>
    <row r="1457">
      <c r="A1457" s="40" t="n"/>
      <c r="B1457" s="40" t="inlineStr">
        <is>
          <t>Outras</t>
        </is>
      </c>
      <c r="D1457" s="67" t="inlineStr">
        <is>
          <t>Renata Francisco Becker</t>
        </is>
      </c>
      <c r="E1457" s="62" t="n">
        <v>45420</v>
      </c>
      <c r="I1457" s="67" t="inlineStr">
        <is>
          <t>5008937-34.2025.8.24.0020</t>
        </is>
      </c>
      <c r="J1457" s="67" t="inlineStr">
        <is>
          <t>Prazo</t>
        </is>
      </c>
      <c r="K1457" s="62" t="n">
        <v>46078</v>
      </c>
      <c r="L1457" s="67" t="inlineStr">
        <is>
          <t xml:space="preserve">Alexia </t>
        </is>
      </c>
      <c r="M1457" s="40" t="inlineStr">
        <is>
          <t>Cumprido</t>
        </is>
      </c>
      <c r="N1457" s="62" t="n">
        <v>46078</v>
      </c>
      <c r="O1457" s="67" t="inlineStr">
        <is>
          <t>Prazo</t>
        </is>
      </c>
    </row>
    <row r="1458">
      <c r="A1458" s="40" t="inlineStr">
        <is>
          <t>5017508-74.2019.4.04.7204</t>
        </is>
      </c>
      <c r="B1458" s="40" t="inlineStr">
        <is>
          <t>Outras</t>
        </is>
      </c>
      <c r="D1458" s="67" t="inlineStr">
        <is>
          <t>Renata Francisco Becker</t>
        </is>
      </c>
      <c r="E1458" s="62" t="n">
        <v>44803</v>
      </c>
      <c r="F1458" s="67" t="inlineStr">
        <is>
          <t>Juízo Substituto da 1ª VF de Tubarão</t>
        </is>
      </c>
      <c r="I1458" s="67" t="inlineStr">
        <is>
          <t>5006323-56.2025.8.24.0020</t>
        </is>
      </c>
      <c r="J1458" s="67" t="inlineStr">
        <is>
          <t>Prazo</t>
        </is>
      </c>
      <c r="K1458" s="62" t="n">
        <v>46078</v>
      </c>
      <c r="L1458" s="67" t="inlineStr">
        <is>
          <t>Julia</t>
        </is>
      </c>
      <c r="M1458" s="40" t="inlineStr">
        <is>
          <t>Cumprido</t>
        </is>
      </c>
      <c r="N1458" s="62" t="n">
        <v>46078</v>
      </c>
      <c r="O1458" s="67" t="inlineStr">
        <is>
          <t>Prazo</t>
        </is>
      </c>
    </row>
    <row r="1459">
      <c r="A1459" s="40" t="inlineStr">
        <is>
          <t>0005901-94.2008.8.24.0075</t>
        </is>
      </c>
      <c r="B1459" s="40" t="inlineStr">
        <is>
          <t>Outras</t>
        </is>
      </c>
      <c r="D1459" s="67" t="inlineStr">
        <is>
          <t>Renata Francisco Becker</t>
        </is>
      </c>
      <c r="E1459" s="62" t="n">
        <v>44820</v>
      </c>
      <c r="F1459" s="67" t="inlineStr">
        <is>
          <t>Juízo da 3ª Vara Cível da Comarca de Tubarão</t>
        </is>
      </c>
      <c r="I1459" s="67" t="inlineStr">
        <is>
          <t>5000591-54.2019.8.24.0166</t>
        </is>
      </c>
      <c r="J1459" s="67" t="inlineStr">
        <is>
          <t>Prazo</t>
        </is>
      </c>
      <c r="K1459" s="62" t="n">
        <v>46078</v>
      </c>
      <c r="L1459" s="67" t="inlineStr">
        <is>
          <t>Jessica</t>
        </is>
      </c>
      <c r="M1459" s="40" t="inlineStr">
        <is>
          <t>Cumprido</t>
        </is>
      </c>
      <c r="N1459" s="62" t="n">
        <v>46078</v>
      </c>
      <c r="O1459" s="67" t="inlineStr">
        <is>
          <t xml:space="preserve">Prazo </t>
        </is>
      </c>
    </row>
    <row r="1460">
      <c r="A1460" s="40" t="inlineStr">
        <is>
          <t>0000759-66.2022.5.12.0055</t>
        </is>
      </c>
      <c r="B1460" s="40" t="inlineStr">
        <is>
          <t>Outras</t>
        </is>
      </c>
      <c r="D1460" s="67" t="inlineStr">
        <is>
          <t>Renata Francisco Becker</t>
        </is>
      </c>
      <c r="E1460" s="62" t="n">
        <v>44889</v>
      </c>
      <c r="F1460" s="67" t="inlineStr"/>
      <c r="I1460" s="67" t="inlineStr">
        <is>
          <t>0900606-70.2018.8.24.0020</t>
        </is>
      </c>
      <c r="J1460" s="67" t="inlineStr">
        <is>
          <t>Prazo</t>
        </is>
      </c>
      <c r="K1460" s="62" t="n">
        <v>46078</v>
      </c>
      <c r="L1460" s="67" t="inlineStr">
        <is>
          <t>Pedro Victor</t>
        </is>
      </c>
      <c r="M1460" s="40" t="inlineStr">
        <is>
          <t>Cumprido</t>
        </is>
      </c>
      <c r="N1460" s="62" t="n">
        <v>46078</v>
      </c>
      <c r="O1460" s="67" t="inlineStr">
        <is>
          <t>Prazo</t>
        </is>
      </c>
    </row>
    <row r="1461">
      <c r="A1461" s="40" t="inlineStr">
        <is>
          <t>5000291-89.2024.8.24.0078</t>
        </is>
      </c>
      <c r="B1461" s="40" t="inlineStr">
        <is>
          <t>Outras</t>
        </is>
      </c>
      <c r="D1461" s="67" t="inlineStr">
        <is>
          <t>Renata Francisco Becker</t>
        </is>
      </c>
      <c r="E1461" s="62" t="n">
        <v>45314</v>
      </c>
      <c r="F1461" s="67" t="inlineStr"/>
      <c r="I1461" s="67" t="inlineStr">
        <is>
          <t>0000558-02.2023.5.12.0003</t>
        </is>
      </c>
      <c r="J1461" s="67" t="inlineStr">
        <is>
          <t>Prazo</t>
        </is>
      </c>
      <c r="K1461" s="62" t="n">
        <v>46078</v>
      </c>
      <c r="L1461" s="67" t="inlineStr">
        <is>
          <t>Luci</t>
        </is>
      </c>
      <c r="M1461" s="40" t="inlineStr">
        <is>
          <t>Cumprido</t>
        </is>
      </c>
      <c r="N1461" s="62" t="n">
        <v>46078</v>
      </c>
      <c r="O1461" s="67" t="inlineStr">
        <is>
          <t>Prazo</t>
        </is>
      </c>
    </row>
    <row r="1462">
      <c r="A1462" s="40" t="inlineStr">
        <is>
          <t>5055329-34.2021.8.24.0000</t>
        </is>
      </c>
      <c r="B1462" s="40" t="inlineStr">
        <is>
          <t>Outras</t>
        </is>
      </c>
      <c r="D1462" s="67" t="inlineStr">
        <is>
          <t>Renata Francisco Becker</t>
        </is>
      </c>
      <c r="E1462" s="62" t="n">
        <v>45257</v>
      </c>
      <c r="F1462" s="67" t="inlineStr"/>
      <c r="I1462" s="67" t="inlineStr">
        <is>
          <t>5260623-93.2023.8.21.0001</t>
        </is>
      </c>
      <c r="J1462" s="67" t="inlineStr">
        <is>
          <t>Prazo</t>
        </is>
      </c>
      <c r="K1462" s="62" t="n">
        <v>46078</v>
      </c>
      <c r="L1462" s="67" t="inlineStr">
        <is>
          <t>Pedro Victor</t>
        </is>
      </c>
      <c r="M1462" s="40" t="inlineStr">
        <is>
          <t>Cumprido</t>
        </is>
      </c>
      <c r="N1462" s="62" t="n">
        <v>46078</v>
      </c>
      <c r="O1462" s="67" t="inlineStr">
        <is>
          <t>Prazo</t>
        </is>
      </c>
    </row>
    <row r="1463">
      <c r="A1463" s="40" t="inlineStr">
        <is>
          <t>5010670-81.2020.4.04.7204</t>
        </is>
      </c>
      <c r="B1463" s="40" t="inlineStr">
        <is>
          <t>Outras</t>
        </is>
      </c>
      <c r="D1463" s="67" t="inlineStr">
        <is>
          <t>Renata Francisco Becker</t>
        </is>
      </c>
      <c r="E1463" s="62" t="n">
        <v>44707</v>
      </c>
      <c r="F1463" s="67" t="inlineStr">
        <is>
          <t>Juízo Federal da 4ª VF de Criciúma</t>
        </is>
      </c>
      <c r="I1463" s="67" t="inlineStr">
        <is>
          <t>0000438-51.2026.5.12.0003</t>
        </is>
      </c>
      <c r="J1463" s="67" t="inlineStr">
        <is>
          <t>Prazo</t>
        </is>
      </c>
      <c r="K1463" s="62" t="n">
        <v>46078</v>
      </c>
      <c r="L1463" s="67" t="inlineStr">
        <is>
          <t>Luci</t>
        </is>
      </c>
      <c r="M1463" s="40" t="inlineStr">
        <is>
          <t>Cumprido</t>
        </is>
      </c>
      <c r="N1463" s="62" t="n">
        <v>46078</v>
      </c>
      <c r="O1463" s="67" t="inlineStr">
        <is>
          <t>Reclamatória Trabalhista</t>
        </is>
      </c>
    </row>
    <row r="1464">
      <c r="A1464" s="40" t="inlineStr">
        <is>
          <t>5012994-78.2019.4.04.7204</t>
        </is>
      </c>
      <c r="B1464" s="40" t="inlineStr">
        <is>
          <t>Outras</t>
        </is>
      </c>
      <c r="D1464" s="67" t="inlineStr">
        <is>
          <t>Renata Francisco Becker</t>
        </is>
      </c>
      <c r="E1464" s="62" t="n">
        <v>44802</v>
      </c>
      <c r="F1464" s="67" t="inlineStr">
        <is>
          <t>Juízo Substituto da 1ª VF de Tubarão</t>
        </is>
      </c>
      <c r="I1464" s="67" t="inlineStr">
        <is>
          <t>0001610-62.2025.5.12.0003</t>
        </is>
      </c>
      <c r="J1464" s="67" t="inlineStr">
        <is>
          <t>Prazo</t>
        </is>
      </c>
      <c r="K1464" s="62" t="n">
        <v>46078</v>
      </c>
      <c r="L1464" s="67" t="inlineStr">
        <is>
          <t>Luci</t>
        </is>
      </c>
      <c r="M1464" s="40" t="inlineStr">
        <is>
          <t>Cumprido</t>
        </is>
      </c>
      <c r="N1464" s="62" t="n">
        <v>46078</v>
      </c>
      <c r="O1464" s="67" t="inlineStr">
        <is>
          <t xml:space="preserve">Recurso Ordinário </t>
        </is>
      </c>
    </row>
    <row r="1465">
      <c r="A1465" s="40" t="n"/>
      <c r="B1465" s="40" t="inlineStr">
        <is>
          <t>Outras</t>
        </is>
      </c>
      <c r="D1465" s="67" t="inlineStr">
        <is>
          <t>Renata Francisco Becker</t>
        </is>
      </c>
      <c r="E1465" s="62" t="n">
        <v>45371</v>
      </c>
      <c r="I1465" s="67" t="inlineStr"/>
      <c r="J1465" s="67" t="inlineStr">
        <is>
          <t>Prazo</t>
        </is>
      </c>
      <c r="K1465" s="62" t="n">
        <v>46078</v>
      </c>
      <c r="L1465" s="67" t="inlineStr">
        <is>
          <t>Julia</t>
        </is>
      </c>
      <c r="M1465" s="40" t="inlineStr">
        <is>
          <t>Cumprido</t>
        </is>
      </c>
      <c r="N1465" s="62" t="n">
        <v>46078</v>
      </c>
      <c r="O1465" s="67" t="inlineStr">
        <is>
          <t>REVISÃO contrato padrão COLOMBO</t>
        </is>
      </c>
    </row>
    <row r="1466">
      <c r="A1466" s="40" t="inlineStr">
        <is>
          <t>5001051-18.2024.8.24.0020</t>
        </is>
      </c>
      <c r="B1466" s="40" t="inlineStr">
        <is>
          <t>Outras</t>
        </is>
      </c>
      <c r="D1466" s="67" t="inlineStr">
        <is>
          <t>Renata Francisco Becker</t>
        </is>
      </c>
      <c r="E1466" s="62" t="n">
        <v>45310</v>
      </c>
      <c r="F1466" s="67" t="inlineStr"/>
      <c r="I1466" s="67" t="inlineStr">
        <is>
          <t>5000981-30.2026.8.24.0020</t>
        </is>
      </c>
      <c r="J1466" s="67" t="inlineStr">
        <is>
          <t>Tarefa</t>
        </is>
      </c>
      <c r="K1466" s="62" t="n">
        <v>46078</v>
      </c>
      <c r="L1466" s="67" t="inlineStr">
        <is>
          <t xml:space="preserve">Alexia </t>
        </is>
      </c>
      <c r="M1466" s="40" t="inlineStr">
        <is>
          <t>Cumprido</t>
        </is>
      </c>
      <c r="N1466" s="62" t="n">
        <v>46078</v>
      </c>
      <c r="O1466" s="67" t="inlineStr">
        <is>
          <t>Protocolo</t>
        </is>
      </c>
    </row>
    <row r="1467">
      <c r="A1467" s="40" t="inlineStr">
        <is>
          <t>5013591-47.2019.4.04.7204</t>
        </is>
      </c>
      <c r="B1467" s="40" t="inlineStr">
        <is>
          <t>Outras</t>
        </is>
      </c>
      <c r="D1467" s="67" t="inlineStr">
        <is>
          <t>Renata Francisco Becker</t>
        </is>
      </c>
      <c r="E1467" s="62" t="n">
        <v>44802</v>
      </c>
      <c r="F1467" s="67" t="inlineStr">
        <is>
          <t>Juízo Substituto da 1ª VF de Tubarão</t>
        </is>
      </c>
      <c r="I1467" s="67" t="inlineStr">
        <is>
          <t>0001269-74.2025.5.12.0055</t>
        </is>
      </c>
      <c r="J1467" s="67" t="inlineStr">
        <is>
          <t>Tarefa</t>
        </is>
      </c>
      <c r="K1467" s="62" t="n">
        <v>46078</v>
      </c>
      <c r="L1467" s="67" t="inlineStr">
        <is>
          <t>Pedro Victor</t>
        </is>
      </c>
      <c r="M1467" s="40" t="inlineStr">
        <is>
          <t>Cumprido</t>
        </is>
      </c>
      <c r="N1467" s="62" t="n">
        <v>46078</v>
      </c>
      <c r="O1467" s="67" t="inlineStr">
        <is>
          <t>Revisão</t>
        </is>
      </c>
    </row>
    <row r="1468">
      <c r="A1468" s="40" t="inlineStr">
        <is>
          <t>5017739-94.2020.8.24.0020</t>
        </is>
      </c>
      <c r="B1468" s="40" t="inlineStr">
        <is>
          <t>Outras</t>
        </is>
      </c>
      <c r="D1468" s="67" t="inlineStr">
        <is>
          <t>Renata Francisco Becker</t>
        </is>
      </c>
      <c r="E1468" s="62" t="n">
        <v>44750</v>
      </c>
      <c r="F1468" s="67" t="inlineStr">
        <is>
          <t>Vara Cível</t>
        </is>
      </c>
      <c r="I1468" s="67" t="inlineStr">
        <is>
          <t>5001271-45.2026.8.24.0020</t>
        </is>
      </c>
      <c r="J1468" s="67" t="inlineStr">
        <is>
          <t>Tarefa</t>
        </is>
      </c>
      <c r="K1468" s="62" t="n">
        <v>46078</v>
      </c>
      <c r="L1468" s="67" t="inlineStr">
        <is>
          <t xml:space="preserve">Alexia </t>
        </is>
      </c>
      <c r="M1468" s="40" t="inlineStr">
        <is>
          <t>Cumprido</t>
        </is>
      </c>
      <c r="N1468" s="62" t="n">
        <v>46078</v>
      </c>
      <c r="O1468" s="67" t="inlineStr">
        <is>
          <t xml:space="preserve">Protocolo </t>
        </is>
      </c>
    </row>
    <row r="1469">
      <c r="A1469" s="40" t="inlineStr">
        <is>
          <t>1065459-88.2021.8.26.0100</t>
        </is>
      </c>
      <c r="B1469" s="40" t="inlineStr">
        <is>
          <t>Outras</t>
        </is>
      </c>
      <c r="D1469" s="67" t="inlineStr">
        <is>
          <t>Renata Francisco Becker</t>
        </is>
      </c>
      <c r="E1469" s="62" t="n">
        <v>44701</v>
      </c>
      <c r="F1469" s="67" t="inlineStr">
        <is>
          <t>28ª Vara Civel</t>
        </is>
      </c>
      <c r="I1469" s="67" t="inlineStr"/>
      <c r="J1469" s="67" t="inlineStr">
        <is>
          <t>Tarefa</t>
        </is>
      </c>
      <c r="K1469" s="62" t="n">
        <v>46078</v>
      </c>
      <c r="L1469" s="67" t="inlineStr">
        <is>
          <t>Pedro Victor</t>
        </is>
      </c>
      <c r="M1469" s="40" t="inlineStr">
        <is>
          <t>Cumprido</t>
        </is>
      </c>
      <c r="N1469" s="62" t="n">
        <v>46078</v>
      </c>
      <c r="O1469" s="67" t="inlineStr">
        <is>
          <t>Revisão - Julia</t>
        </is>
      </c>
    </row>
    <row r="1470">
      <c r="A1470" s="40" t="inlineStr">
        <is>
          <t>5000161-74.2018.8.21.0052</t>
        </is>
      </c>
      <c r="B1470" s="40" t="inlineStr">
        <is>
          <t>Outras</t>
        </is>
      </c>
      <c r="D1470" s="67" t="inlineStr">
        <is>
          <t>Renata Francisco Becker</t>
        </is>
      </c>
      <c r="E1470" s="62" t="n">
        <v>45155</v>
      </c>
      <c r="I1470" s="67" t="inlineStr"/>
      <c r="J1470" s="67" t="inlineStr">
        <is>
          <t>Tarefa</t>
        </is>
      </c>
      <c r="K1470" s="62" t="n">
        <v>46078</v>
      </c>
      <c r="L1470" s="67" t="inlineStr">
        <is>
          <t>Marelize Controladoria</t>
        </is>
      </c>
      <c r="M1470" s="40" t="inlineStr">
        <is>
          <t>Cumprido</t>
        </is>
      </c>
      <c r="N1470" s="62" t="n">
        <v>46078</v>
      </c>
      <c r="O1470" s="67" t="inlineStr">
        <is>
          <t>25/02/2026 - Conferir prazos no TJs - TJSC - TJRS - TRT12 - TRF4 - JFSC - TJRJ - TJPR - TJPA - TJSP - TJGO;</t>
        </is>
      </c>
    </row>
    <row r="1471">
      <c r="A1471" s="40" t="inlineStr">
        <is>
          <t>5010674-21.2020.4.04.7204</t>
        </is>
      </c>
      <c r="B1471" s="40" t="inlineStr">
        <is>
          <t>Outras</t>
        </is>
      </c>
      <c r="D1471" s="67" t="inlineStr">
        <is>
          <t>Renata Francisco Becker</t>
        </is>
      </c>
      <c r="E1471" s="62" t="n">
        <v>44725</v>
      </c>
      <c r="F1471" s="67" t="inlineStr">
        <is>
          <t>Juízo Substituto da 4ª VF de Criciúma</t>
        </is>
      </c>
      <c r="I1471" s="67" t="inlineStr"/>
      <c r="J1471" s="67" t="inlineStr">
        <is>
          <t>Tarefa</t>
        </is>
      </c>
      <c r="K1471" s="62" t="n">
        <v>46078</v>
      </c>
      <c r="L1471" s="67" t="inlineStr">
        <is>
          <t>Marelize Controladoria</t>
        </is>
      </c>
      <c r="M1471" s="40" t="inlineStr">
        <is>
          <t>Cumprido</t>
        </is>
      </c>
      <c r="N1471" s="62" t="n">
        <v>46078</v>
      </c>
      <c r="O1471" s="67" t="inlineStr">
        <is>
          <t>25/02/2026 - Fazer Agendas.</t>
        </is>
      </c>
    </row>
    <row r="1472">
      <c r="A1472" s="40" t="inlineStr">
        <is>
          <t>5008181-59.2024.8.24.0020</t>
        </is>
      </c>
      <c r="B1472" s="40" t="inlineStr">
        <is>
          <t>Outras</t>
        </is>
      </c>
      <c r="D1472" s="67" t="inlineStr">
        <is>
          <t>Pedro Victor</t>
        </is>
      </c>
      <c r="E1472" s="62" t="n">
        <v>45328</v>
      </c>
      <c r="F1472" s="67" t="inlineStr"/>
      <c r="I1472" s="67" t="inlineStr"/>
      <c r="J1472" s="67" t="inlineStr">
        <is>
          <t>Tarefa</t>
        </is>
      </c>
      <c r="K1472" s="62" t="n">
        <v>46078</v>
      </c>
      <c r="L1472" s="67" t="inlineStr">
        <is>
          <t>Marelize Controladoria</t>
        </is>
      </c>
      <c r="M1472" s="40" t="inlineStr">
        <is>
          <t>Cumprido</t>
        </is>
      </c>
      <c r="N1472" s="62" t="n">
        <v>46078</v>
      </c>
      <c r="O1472" s="67" t="inlineStr">
        <is>
          <t>25/02/2026 - Fazer Publicações.</t>
        </is>
      </c>
    </row>
    <row r="1473">
      <c r="A1473" s="40" t="inlineStr">
        <is>
          <t>0000140-55.2024.5.12.0027</t>
        </is>
      </c>
      <c r="B1473" s="40" t="inlineStr">
        <is>
          <t>Outras</t>
        </is>
      </c>
      <c r="D1473" s="67" t="inlineStr">
        <is>
          <t>Renata Francisco Becker</t>
        </is>
      </c>
      <c r="E1473" s="62" t="n">
        <v>45363</v>
      </c>
      <c r="F1473" s="67" t="inlineStr"/>
      <c r="I1473" s="67" t="inlineStr"/>
      <c r="J1473" s="67" t="inlineStr">
        <is>
          <t>Tarefa</t>
        </is>
      </c>
      <c r="K1473" s="62" t="n">
        <v>46078</v>
      </c>
      <c r="L1473" s="67" t="inlineStr">
        <is>
          <t>Marelize Controladoria</t>
        </is>
      </c>
      <c r="M1473" s="40" t="inlineStr">
        <is>
          <t>Cumprido</t>
        </is>
      </c>
      <c r="N1473" s="62" t="n">
        <v>46078</v>
      </c>
      <c r="O1473" s="67" t="inlineStr">
        <is>
          <t>25/02/2026 - Olhar E-mails.</t>
        </is>
      </c>
    </row>
    <row r="1474">
      <c r="A1474" s="40" t="inlineStr">
        <is>
          <t>0301336-80.2018.8.24.0069</t>
        </is>
      </c>
      <c r="B1474" s="40" t="inlineStr">
        <is>
          <t>Outras</t>
        </is>
      </c>
      <c r="D1474" s="67" t="inlineStr">
        <is>
          <t>Renata Francisco Becker</t>
        </is>
      </c>
      <c r="E1474" s="62" t="n">
        <v>45222</v>
      </c>
      <c r="F1474" s="67" t="inlineStr"/>
      <c r="I1474" s="67" t="inlineStr"/>
      <c r="J1474" s="67" t="inlineStr">
        <is>
          <t>Tarefa</t>
        </is>
      </c>
      <c r="K1474" s="62" t="n">
        <v>46078</v>
      </c>
      <c r="L1474" s="67" t="inlineStr">
        <is>
          <t>Marelize Controladoria</t>
        </is>
      </c>
      <c r="M1474" s="40" t="inlineStr">
        <is>
          <t>Cumprido</t>
        </is>
      </c>
      <c r="N1474" s="62" t="n">
        <v>46078</v>
      </c>
      <c r="O1474" s="67" t="inlineStr">
        <is>
          <t>Abrir demanda para Júlia dar prosseguimento, tendo em vista que a notificação foi entregue, mas não foi cumprida ou respondida.</t>
        </is>
      </c>
    </row>
    <row r="1475">
      <c r="A1475" s="40" t="inlineStr">
        <is>
          <t>5000242-58.2024.8.24.0010</t>
        </is>
      </c>
      <c r="B1475" s="40" t="inlineStr">
        <is>
          <t>Outras</t>
        </is>
      </c>
      <c r="D1475" s="67" t="inlineStr">
        <is>
          <t>Renata Francisco Becker</t>
        </is>
      </c>
      <c r="E1475" s="62" t="n">
        <v>45313</v>
      </c>
      <c r="F1475" s="67" t="inlineStr"/>
      <c r="I1475" s="67" t="inlineStr"/>
      <c r="J1475" s="67" t="inlineStr">
        <is>
          <t>Tarefa</t>
        </is>
      </c>
      <c r="K1475" s="62" t="n">
        <v>46078</v>
      </c>
      <c r="L1475" s="67" t="inlineStr">
        <is>
          <t>Jessica</t>
        </is>
      </c>
      <c r="M1475" s="40" t="inlineStr">
        <is>
          <t>Cumprido</t>
        </is>
      </c>
      <c r="N1475" s="62" t="n">
        <v>46078</v>
      </c>
      <c r="O1475" s="67" t="inlineStr">
        <is>
          <t>Apuração preliminar de valores de ICMS indevido</t>
        </is>
      </c>
    </row>
    <row r="1476">
      <c r="A1476" s="40" t="inlineStr">
        <is>
          <t>14185.029082/2023-62</t>
        </is>
      </c>
      <c r="B1476" s="40" t="inlineStr">
        <is>
          <t>Outras</t>
        </is>
      </c>
      <c r="D1476" s="67" t="inlineStr">
        <is>
          <t>Pedro Victor</t>
        </is>
      </c>
      <c r="E1476" s="62" t="n">
        <v>45399</v>
      </c>
      <c r="F1476" s="67" t="inlineStr"/>
      <c r="I1476" s="67" t="inlineStr">
        <is>
          <t>0001610-62.2025.5.12.0003</t>
        </is>
      </c>
      <c r="J1476" s="67" t="inlineStr">
        <is>
          <t>Tarefa</t>
        </is>
      </c>
      <c r="K1476" s="62" t="n">
        <v>46078</v>
      </c>
      <c r="L1476" s="67" t="inlineStr">
        <is>
          <t>Luci</t>
        </is>
      </c>
      <c r="M1476" s="40" t="inlineStr">
        <is>
          <t>Cumprido</t>
        </is>
      </c>
      <c r="N1476" s="62" t="n">
        <v>46078</v>
      </c>
      <c r="O1476" s="67" t="inlineStr">
        <is>
          <t>EMISSÃO DE PREPARO/DEPÓSITO RECURSAL</t>
        </is>
      </c>
    </row>
    <row r="1477">
      <c r="A1477" s="40" t="inlineStr">
        <is>
          <t>5014986-62.2023.8.24.0020</t>
        </is>
      </c>
      <c r="B1477" s="40" t="inlineStr">
        <is>
          <t>Outras</t>
        </is>
      </c>
      <c r="D1477" s="67" t="inlineStr">
        <is>
          <t>Renata Francisco Becker</t>
        </is>
      </c>
      <c r="E1477" s="62" t="n">
        <v>45111</v>
      </c>
      <c r="F1477" s="67" t="inlineStr"/>
      <c r="I1477" s="67" t="inlineStr">
        <is>
          <t>5006323-56.2025.8.24.0020</t>
        </is>
      </c>
      <c r="J1477" s="67" t="inlineStr">
        <is>
          <t>Tarefa</t>
        </is>
      </c>
      <c r="K1477" s="62" t="n">
        <v>46078</v>
      </c>
      <c r="L1477" s="67" t="inlineStr">
        <is>
          <t>Julia</t>
        </is>
      </c>
      <c r="M1477" s="40" t="inlineStr">
        <is>
          <t>Cumprido</t>
        </is>
      </c>
      <c r="N1477" s="62" t="n">
        <v>46078</v>
      </c>
      <c r="O1477" s="67" t="inlineStr">
        <is>
          <t>Fazer carta de intimação da audiência das nossas testemunhas e juntar nos autos, encaminhar para o cliente Bruno, dentro do grupo da reficel, as cartas para ele colher assinatura, inclusive, com data no dia do recebeimento (instruir ele), só dar baixa na demanda, depois que juntarmos todas intimações das nossas testemunhas, obrigada.</t>
        </is>
      </c>
    </row>
    <row r="1478">
      <c r="A1478" s="40" t="inlineStr">
        <is>
          <t>0000740-60.2022.5.12.0055</t>
        </is>
      </c>
      <c r="B1478" s="40" t="inlineStr">
        <is>
          <t>Outras</t>
        </is>
      </c>
      <c r="D1478" s="67" t="inlineStr">
        <is>
          <t>Renata Francisco Becker</t>
        </is>
      </c>
      <c r="E1478" s="62" t="n">
        <v>44972</v>
      </c>
      <c r="F1478" s="67" t="inlineStr"/>
      <c r="I1478" s="67" t="inlineStr"/>
      <c r="J1478" s="67" t="inlineStr">
        <is>
          <t>Tarefa</t>
        </is>
      </c>
      <c r="K1478" s="62" t="n">
        <v>46078</v>
      </c>
      <c r="L1478" s="67" t="inlineStr">
        <is>
          <t>Julia</t>
        </is>
      </c>
      <c r="M1478" s="40" t="inlineStr">
        <is>
          <t>Cumprido</t>
        </is>
      </c>
      <c r="N1478" s="62" t="n">
        <v>46078</v>
      </c>
      <c r="O1478" s="67" t="inlineStr">
        <is>
          <t>Finalização</t>
        </is>
      </c>
    </row>
    <row r="1479">
      <c r="A1479" s="40" t="inlineStr">
        <is>
          <t>0301075-05.2017.8.24.0020</t>
        </is>
      </c>
      <c r="B1479" s="40" t="inlineStr">
        <is>
          <t>Outras</t>
        </is>
      </c>
      <c r="D1479" s="67" t="inlineStr">
        <is>
          <t>Renata Francisco Becker</t>
        </is>
      </c>
      <c r="E1479" s="62" t="n">
        <v>44701</v>
      </c>
      <c r="F1479" s="67" t="inlineStr">
        <is>
          <t>2ª Vara Da Fazenda</t>
        </is>
      </c>
      <c r="I1479" s="67" t="inlineStr"/>
      <c r="J1479" s="67" t="inlineStr">
        <is>
          <t>Tarefa</t>
        </is>
      </c>
      <c r="K1479" s="62" t="n">
        <v>46078</v>
      </c>
      <c r="L1479" s="67" t="inlineStr">
        <is>
          <t>Jessica</t>
        </is>
      </c>
      <c r="M1479" s="40" t="inlineStr">
        <is>
          <t>Cumprido</t>
        </is>
      </c>
      <c r="N1479" s="62" t="n">
        <v>46078</v>
      </c>
      <c r="O1479" s="67" t="inlineStr">
        <is>
          <t>Pedido de restituição</t>
        </is>
      </c>
    </row>
    <row r="1480">
      <c r="A1480" s="40" t="inlineStr">
        <is>
          <t>5006412-94.2021.8.24.0028</t>
        </is>
      </c>
      <c r="B1480" s="40" t="inlineStr">
        <is>
          <t>Outras</t>
        </is>
      </c>
      <c r="D1480" s="67" t="inlineStr">
        <is>
          <t>Renata Francisco Becker</t>
        </is>
      </c>
      <c r="E1480" s="62" t="n">
        <v>44701</v>
      </c>
      <c r="F1480" s="67" t="inlineStr">
        <is>
          <t>Juizo Da 1ª Vara Da Comarca De Icara</t>
        </is>
      </c>
      <c r="I1480" s="67" t="inlineStr">
        <is>
          <t>5001164-58.2020.8.24.0166</t>
        </is>
      </c>
      <c r="J1480" s="67" t="inlineStr">
        <is>
          <t>Tarefa</t>
        </is>
      </c>
      <c r="K1480" s="62" t="n">
        <v>46078</v>
      </c>
      <c r="L1480" s="67" t="inlineStr">
        <is>
          <t xml:space="preserve">Alexia </t>
        </is>
      </c>
      <c r="M1480" s="40" t="inlineStr">
        <is>
          <t>Cumprido</t>
        </is>
      </c>
      <c r="N1480" s="62" t="n">
        <v>46078</v>
      </c>
      <c r="O1480" s="67" t="inlineStr">
        <is>
          <t>Protocolo</t>
        </is>
      </c>
    </row>
    <row r="1481">
      <c r="A1481" s="40" t="inlineStr">
        <is>
          <t>5000473.65.2023.8.24.0028</t>
        </is>
      </c>
      <c r="B1481" s="40" t="inlineStr">
        <is>
          <t>Outras</t>
        </is>
      </c>
      <c r="D1481" s="67" t="inlineStr">
        <is>
          <t>Renata Francisco Becker</t>
        </is>
      </c>
      <c r="E1481" s="62" t="n">
        <v>45387</v>
      </c>
      <c r="F1481" s="67" t="inlineStr"/>
      <c r="I1481" s="67" t="inlineStr">
        <is>
          <t>50097130520238240020</t>
        </is>
      </c>
      <c r="J1481" s="67" t="inlineStr">
        <is>
          <t>Tarefa</t>
        </is>
      </c>
      <c r="K1481" s="62" t="n">
        <v>46078</v>
      </c>
      <c r="L1481" s="67" t="inlineStr">
        <is>
          <t xml:space="preserve">Alexia </t>
        </is>
      </c>
      <c r="M1481" s="40" t="inlineStr">
        <is>
          <t>Cumprido</t>
        </is>
      </c>
      <c r="N1481" s="62" t="n">
        <v>46078</v>
      </c>
      <c r="O1481" s="67" t="inlineStr">
        <is>
          <t>Protocolo</t>
        </is>
      </c>
    </row>
    <row r="1482">
      <c r="A1482" s="40" t="inlineStr">
        <is>
          <t>22.718.359-2</t>
        </is>
      </c>
      <c r="B1482" s="40" t="inlineStr">
        <is>
          <t>Outras</t>
        </is>
      </c>
      <c r="D1482" s="67" t="inlineStr">
        <is>
          <t>Pedro Victor</t>
        </is>
      </c>
      <c r="E1482" s="62" t="n">
        <v>45376</v>
      </c>
      <c r="F1482" s="67" t="inlineStr"/>
      <c r="I1482" s="67" t="inlineStr">
        <is>
          <t>5006478-59.2025.8.24.0020</t>
        </is>
      </c>
      <c r="J1482" s="67" t="inlineStr">
        <is>
          <t>Tarefa</t>
        </is>
      </c>
      <c r="K1482" s="62" t="n">
        <v>46078</v>
      </c>
      <c r="L1482" s="67" t="inlineStr">
        <is>
          <t xml:space="preserve">Alexia </t>
        </is>
      </c>
      <c r="M1482" s="40" t="inlineStr">
        <is>
          <t>Cumprido</t>
        </is>
      </c>
      <c r="N1482" s="62" t="n">
        <v>46078</v>
      </c>
      <c r="O1482" s="67" t="inlineStr">
        <is>
          <t>Protocolo</t>
        </is>
      </c>
    </row>
    <row r="1483">
      <c r="A1483" s="40" t="inlineStr">
        <is>
          <t>5003840-58.2022.8.24.0020</t>
        </is>
      </c>
      <c r="B1483" s="40" t="inlineStr">
        <is>
          <t>Outras</t>
        </is>
      </c>
      <c r="D1483" s="67" t="inlineStr">
        <is>
          <t>Renata Francisco Becker</t>
        </is>
      </c>
      <c r="E1483" s="62" t="n">
        <v>44701</v>
      </c>
      <c r="F1483" s="67" t="inlineStr">
        <is>
          <t>Juizo Do Juizado Especial Civel Da Comarca De Criciuma</t>
        </is>
      </c>
      <c r="I1483" s="67" t="inlineStr">
        <is>
          <t>5026124-09.2025.4.04.0000</t>
        </is>
      </c>
      <c r="J1483" s="67" t="inlineStr">
        <is>
          <t>Tarefa</t>
        </is>
      </c>
      <c r="K1483" s="62" t="n">
        <v>46078</v>
      </c>
      <c r="L1483" s="67" t="inlineStr">
        <is>
          <t>Jessica</t>
        </is>
      </c>
      <c r="M1483" s="40" t="inlineStr">
        <is>
          <t>Cumprido</t>
        </is>
      </c>
      <c r="N1483" s="62" t="n">
        <v>46078</v>
      </c>
      <c r="O1483" s="67" t="inlineStr">
        <is>
          <t>Protocolo</t>
        </is>
      </c>
    </row>
    <row r="1484">
      <c r="A1484" s="40" t="n"/>
      <c r="B1484" s="40" t="inlineStr">
        <is>
          <t>Outras</t>
        </is>
      </c>
      <c r="D1484" s="67" t="inlineStr">
        <is>
          <t>Renata Francisco Becker</t>
        </is>
      </c>
      <c r="E1484" s="62" t="n">
        <v>45384</v>
      </c>
      <c r="I1484" s="67" t="inlineStr">
        <is>
          <t>0001610-62.2025.5.12.0003</t>
        </is>
      </c>
      <c r="J1484" s="67" t="inlineStr">
        <is>
          <t>Tarefa</t>
        </is>
      </c>
      <c r="K1484" s="62" t="n">
        <v>46078</v>
      </c>
      <c r="L1484" s="67" t="inlineStr">
        <is>
          <t>Luci</t>
        </is>
      </c>
      <c r="M1484" s="40" t="inlineStr">
        <is>
          <t>Cumprido</t>
        </is>
      </c>
      <c r="N1484" s="62" t="n">
        <v>46078</v>
      </c>
      <c r="O1484" s="67" t="inlineStr">
        <is>
          <t>Protocolo</t>
        </is>
      </c>
    </row>
    <row r="1485">
      <c r="A1485" s="40" t="inlineStr">
        <is>
          <t>5013624-30.2020.8.24.0020</t>
        </is>
      </c>
      <c r="B1485" s="40" t="inlineStr">
        <is>
          <t>Outras</t>
        </is>
      </c>
      <c r="D1485" s="67" t="inlineStr">
        <is>
          <t>Renata Francisco Becker</t>
        </is>
      </c>
      <c r="E1485" s="62" t="n">
        <v>44904</v>
      </c>
      <c r="F1485" s="67" t="inlineStr"/>
      <c r="I1485" s="67" t="inlineStr">
        <is>
          <t>5012163-30.2019.4.04.7204</t>
        </is>
      </c>
      <c r="J1485" s="67" t="inlineStr">
        <is>
          <t>Tarefa</t>
        </is>
      </c>
      <c r="K1485" s="62" t="n">
        <v>46078</v>
      </c>
      <c r="L1485" s="67" t="inlineStr">
        <is>
          <t xml:space="preserve">Alexia </t>
        </is>
      </c>
      <c r="M1485" s="40" t="inlineStr">
        <is>
          <t>Cumprido</t>
        </is>
      </c>
      <c r="N1485" s="62" t="n">
        <v>46078</v>
      </c>
      <c r="O1485" s="67" t="inlineStr">
        <is>
          <t>Protocolo</t>
        </is>
      </c>
    </row>
    <row r="1486">
      <c r="A1486" s="40" t="inlineStr">
        <is>
          <t>50108529420208240020</t>
        </is>
      </c>
      <c r="B1486" s="40" t="inlineStr">
        <is>
          <t>Outras</t>
        </is>
      </c>
      <c r="D1486" s="67" t="inlineStr">
        <is>
          <t>Renata Francisco Becker</t>
        </is>
      </c>
      <c r="E1486" s="62" t="n">
        <v>44904</v>
      </c>
      <c r="F1486" s="67" t="inlineStr"/>
      <c r="I1486" s="67" t="inlineStr">
        <is>
          <t>5008428-32.2026.8.24.0000</t>
        </is>
      </c>
      <c r="J1486" s="67" t="inlineStr">
        <is>
          <t>Tarefa</t>
        </is>
      </c>
      <c r="K1486" s="62" t="n">
        <v>46078</v>
      </c>
      <c r="L1486" s="67" t="inlineStr">
        <is>
          <t xml:space="preserve">Alexia </t>
        </is>
      </c>
      <c r="M1486" s="40" t="inlineStr">
        <is>
          <t>Cumprido</t>
        </is>
      </c>
      <c r="N1486" s="62" t="n">
        <v>46078</v>
      </c>
      <c r="O1486" s="67" t="inlineStr">
        <is>
          <t>Protocolo</t>
        </is>
      </c>
    </row>
    <row r="1487">
      <c r="A1487" s="40" t="inlineStr">
        <is>
          <t>0000578-16.2012.8.24.0028</t>
        </is>
      </c>
      <c r="B1487" s="40" t="inlineStr">
        <is>
          <t>Outras</t>
        </is>
      </c>
      <c r="D1487" s="67" t="inlineStr">
        <is>
          <t>Renata Francisco Becker</t>
        </is>
      </c>
      <c r="E1487" s="62" t="n">
        <v>45111</v>
      </c>
      <c r="F1487" s="67" t="inlineStr">
        <is>
          <t>Juízo da 1ª Vara Cível da Comarca de Içara</t>
        </is>
      </c>
      <c r="I1487" s="67" t="inlineStr">
        <is>
          <t>5019809-11.2025.8.24.0020</t>
        </is>
      </c>
      <c r="J1487" s="67" t="inlineStr">
        <is>
          <t>Tarefa</t>
        </is>
      </c>
      <c r="K1487" s="62" t="n">
        <v>46078</v>
      </c>
      <c r="L1487" s="67" t="inlineStr">
        <is>
          <t xml:space="preserve">Alexia </t>
        </is>
      </c>
      <c r="M1487" s="40" t="inlineStr">
        <is>
          <t>Cumprido</t>
        </is>
      </c>
      <c r="N1487" s="62" t="n">
        <v>46078</v>
      </c>
      <c r="O1487" s="67" t="inlineStr">
        <is>
          <t>Protocolo</t>
        </is>
      </c>
    </row>
    <row r="1488">
      <c r="A1488" s="40" t="n"/>
      <c r="B1488" s="40" t="inlineStr">
        <is>
          <t>Outras</t>
        </is>
      </c>
      <c r="D1488" s="67" t="inlineStr">
        <is>
          <t>Pedro Victor</t>
        </is>
      </c>
      <c r="E1488" s="62" t="n">
        <v>45362</v>
      </c>
      <c r="I1488" s="67" t="inlineStr">
        <is>
          <t>50130805120248240004</t>
        </is>
      </c>
      <c r="J1488" s="67" t="inlineStr">
        <is>
          <t>Tarefa</t>
        </is>
      </c>
      <c r="K1488" s="62" t="n">
        <v>46078</v>
      </c>
      <c r="L1488" s="67" t="inlineStr">
        <is>
          <t>Pedro Victor</t>
        </is>
      </c>
      <c r="M1488" s="40" t="inlineStr">
        <is>
          <t>Cumprido</t>
        </is>
      </c>
      <c r="N1488" s="62" t="n">
        <v>46078</v>
      </c>
      <c r="O1488" s="67" t="inlineStr">
        <is>
          <t>Protocolo</t>
        </is>
      </c>
    </row>
    <row r="1489">
      <c r="A1489" s="40" t="inlineStr">
        <is>
          <t>5006447-54.2021.8.24.0028</t>
        </is>
      </c>
      <c r="B1489" s="40" t="inlineStr">
        <is>
          <t>Outras</t>
        </is>
      </c>
      <c r="D1489" s="67" t="inlineStr">
        <is>
          <t>Renata Francisco Becker</t>
        </is>
      </c>
      <c r="E1489" s="62" t="n">
        <v>44701</v>
      </c>
      <c r="F1489" s="67" t="inlineStr">
        <is>
          <t>Juizo Da 1ª Vara Da Comarca De Icara</t>
        </is>
      </c>
      <c r="I1489" s="67" t="inlineStr"/>
      <c r="J1489" s="67" t="inlineStr">
        <is>
          <t>Tarefa</t>
        </is>
      </c>
      <c r="K1489" s="62" t="n">
        <v>46078</v>
      </c>
      <c r="L1489" s="67" t="inlineStr">
        <is>
          <t>Julia</t>
        </is>
      </c>
      <c r="M1489" s="40" t="inlineStr">
        <is>
          <t>Cumprido</t>
        </is>
      </c>
      <c r="N1489" s="62" t="n">
        <v>46078</v>
      </c>
      <c r="O1489" s="67" t="inlineStr">
        <is>
          <t>RETORNO CLIENTE - Colonetti</t>
        </is>
      </c>
    </row>
    <row r="1490">
      <c r="A1490" s="40" t="n"/>
      <c r="B1490" s="40" t="inlineStr">
        <is>
          <t>Outras</t>
        </is>
      </c>
      <c r="D1490" s="67" t="inlineStr">
        <is>
          <t>Renata Francisco Becker</t>
        </is>
      </c>
      <c r="E1490" s="62" t="n">
        <v>45341</v>
      </c>
      <c r="I1490" s="67" t="inlineStr"/>
      <c r="J1490" s="67" t="inlineStr">
        <is>
          <t>Tarefa</t>
        </is>
      </c>
      <c r="K1490" s="62" t="n">
        <v>46078</v>
      </c>
      <c r="L1490" s="67" t="inlineStr">
        <is>
          <t xml:space="preserve">Lucas </t>
        </is>
      </c>
      <c r="M1490" s="40" t="inlineStr">
        <is>
          <t>Cumprido</t>
        </is>
      </c>
      <c r="N1490" s="62" t="n">
        <v>46078</v>
      </c>
      <c r="O1490" s="67" t="inlineStr">
        <is>
          <t xml:space="preserve">RETORNO CLIENTE - Mike questionou no grupo sobre dissidio. </t>
        </is>
      </c>
    </row>
    <row r="1491">
      <c r="A1491" s="40" t="inlineStr">
        <is>
          <t>0001257-95.2014.8.24.0076</t>
        </is>
      </c>
      <c r="B1491" s="40" t="inlineStr">
        <is>
          <t>Outras</t>
        </is>
      </c>
      <c r="D1491" s="67" t="inlineStr">
        <is>
          <t>Renata Francisco Becker</t>
        </is>
      </c>
      <c r="E1491" s="62" t="n">
        <v>44816</v>
      </c>
      <c r="F1491" s="67" t="inlineStr">
        <is>
          <t>Juízo da Vara Única da Comarca de Turvo</t>
        </is>
      </c>
      <c r="I1491" s="67" t="inlineStr">
        <is>
          <t>5008428-32.2026.8.24.0000</t>
        </is>
      </c>
      <c r="J1491" s="67" t="inlineStr">
        <is>
          <t>Tarefa</t>
        </is>
      </c>
      <c r="K1491" s="62" t="n">
        <v>46078</v>
      </c>
      <c r="L1491" s="67" t="inlineStr">
        <is>
          <t>Pedro Victor</t>
        </is>
      </c>
      <c r="M1491" s="40" t="inlineStr">
        <is>
          <t>Cumprido</t>
        </is>
      </c>
      <c r="N1491" s="62" t="n">
        <v>46078</v>
      </c>
      <c r="O1491" s="67" t="inlineStr">
        <is>
          <t>Revisão</t>
        </is>
      </c>
    </row>
    <row r="1492">
      <c r="A1492" s="40" t="n"/>
      <c r="B1492" s="40" t="inlineStr">
        <is>
          <t>Outras</t>
        </is>
      </c>
      <c r="D1492" s="67" t="inlineStr">
        <is>
          <t>Pedro Victor</t>
        </is>
      </c>
      <c r="E1492" s="62" t="n">
        <v>45357</v>
      </c>
      <c r="I1492" s="67" t="inlineStr">
        <is>
          <t>5001161-65.2025.8.24.0025</t>
        </is>
      </c>
      <c r="J1492" s="67" t="inlineStr">
        <is>
          <t>Tarefa</t>
        </is>
      </c>
      <c r="K1492" s="62" t="n">
        <v>46078</v>
      </c>
      <c r="L1492" s="67" t="inlineStr">
        <is>
          <t>Pedro Victor</t>
        </is>
      </c>
      <c r="M1492" s="40" t="inlineStr">
        <is>
          <t>Cumprido</t>
        </is>
      </c>
      <c r="N1492" s="62" t="n">
        <v>46078</v>
      </c>
      <c r="O1492" s="67" t="inlineStr">
        <is>
          <t>Revisão</t>
        </is>
      </c>
    </row>
    <row r="1493">
      <c r="A1493" s="40" t="n"/>
      <c r="B1493" s="40" t="inlineStr">
        <is>
          <t>Outras</t>
        </is>
      </c>
      <c r="D1493" s="67" t="inlineStr">
        <is>
          <t>Pedro Victor</t>
        </is>
      </c>
      <c r="E1493" s="62" t="n">
        <v>45135</v>
      </c>
      <c r="I1493" s="67" t="inlineStr">
        <is>
          <t>4002678-64.2025.8.26.0576</t>
        </is>
      </c>
      <c r="J1493" s="67" t="inlineStr">
        <is>
          <t>Tarefa</t>
        </is>
      </c>
      <c r="K1493" s="62" t="n">
        <v>46078</v>
      </c>
      <c r="L1493" s="67" t="inlineStr">
        <is>
          <t>Pedro Victor</t>
        </is>
      </c>
      <c r="M1493" s="40" t="inlineStr">
        <is>
          <t>Cumprido</t>
        </is>
      </c>
      <c r="N1493" s="62" t="n">
        <v>46078</v>
      </c>
      <c r="O1493" s="67" t="inlineStr">
        <is>
          <t>Revisão</t>
        </is>
      </c>
    </row>
    <row r="1494">
      <c r="A1494" s="40" t="inlineStr">
        <is>
          <t>0301164-04.2017.8.24.0028</t>
        </is>
      </c>
      <c r="B1494" s="40" t="inlineStr">
        <is>
          <t>Outras</t>
        </is>
      </c>
      <c r="D1494" s="67" t="inlineStr">
        <is>
          <t>Renata Francisco Becker</t>
        </is>
      </c>
      <c r="E1494" s="62" t="n">
        <v>44701</v>
      </c>
      <c r="F1494" s="67" t="inlineStr">
        <is>
          <t>Juizo Da 1ª Vara Da Comarca De Icara</t>
        </is>
      </c>
      <c r="I1494" s="67" t="inlineStr">
        <is>
          <t>5001401-92.2020.8.24.0166</t>
        </is>
      </c>
      <c r="J1494" s="67" t="inlineStr">
        <is>
          <t>Tarefa</t>
        </is>
      </c>
      <c r="K1494" s="62" t="n">
        <v>46078</v>
      </c>
      <c r="L1494" s="67" t="inlineStr">
        <is>
          <t>Pedro Victor</t>
        </is>
      </c>
      <c r="M1494" s="40" t="inlineStr">
        <is>
          <t>Cumprido</t>
        </is>
      </c>
      <c r="N1494" s="62" t="n">
        <v>46078</v>
      </c>
      <c r="O1494" s="67" t="inlineStr">
        <is>
          <t>Revisão</t>
        </is>
      </c>
    </row>
    <row r="1495">
      <c r="A1495" s="40" t="inlineStr">
        <is>
          <t>000075.2023.12.002/5</t>
        </is>
      </c>
      <c r="B1495" s="40" t="inlineStr">
        <is>
          <t>Outras</t>
        </is>
      </c>
      <c r="D1495" s="67" t="inlineStr">
        <is>
          <t>Pedro Victor</t>
        </is>
      </c>
      <c r="E1495" s="62" t="n">
        <v>45162</v>
      </c>
      <c r="F1495" s="67" t="inlineStr"/>
      <c r="I1495" s="67" t="inlineStr">
        <is>
          <t>5029778-84.2024.8.24.0020</t>
        </is>
      </c>
      <c r="J1495" s="67" t="inlineStr">
        <is>
          <t>Tarefa</t>
        </is>
      </c>
      <c r="K1495" s="62" t="n">
        <v>46078</v>
      </c>
      <c r="L1495" s="67" t="inlineStr">
        <is>
          <t>Pedro Victor</t>
        </is>
      </c>
      <c r="M1495" s="40" t="inlineStr">
        <is>
          <t>Cumprido</t>
        </is>
      </c>
      <c r="N1495" s="62" t="n">
        <v>46078</v>
      </c>
      <c r="O1495" s="67" t="inlineStr">
        <is>
          <t xml:space="preserve">Revisão </t>
        </is>
      </c>
    </row>
    <row r="1496">
      <c r="A1496" s="40" t="inlineStr">
        <is>
          <t>5001903-26.2023.8.24.0166</t>
        </is>
      </c>
      <c r="B1496" s="40" t="inlineStr">
        <is>
          <t>Outras</t>
        </is>
      </c>
      <c r="D1496" s="67" t="inlineStr">
        <is>
          <t>Renata Francisco Becker</t>
        </is>
      </c>
      <c r="E1496" s="62" t="n">
        <v>45155</v>
      </c>
      <c r="F1496" s="67" t="inlineStr">
        <is>
          <t>Juízo da Vara Única da Comarca de Forquilhinha</t>
        </is>
      </c>
      <c r="I1496" s="67" t="inlineStr">
        <is>
          <t>50130805120248240004</t>
        </is>
      </c>
      <c r="J1496" s="67" t="inlineStr">
        <is>
          <t>Tarefa</t>
        </is>
      </c>
      <c r="K1496" s="62" t="n">
        <v>46078</v>
      </c>
      <c r="L1496" s="67" t="inlineStr">
        <is>
          <t>Pedro Victor</t>
        </is>
      </c>
      <c r="M1496" s="40" t="inlineStr">
        <is>
          <t>Cumprido</t>
        </is>
      </c>
      <c r="N1496" s="62" t="n">
        <v>46078</v>
      </c>
      <c r="O1496" s="67" t="inlineStr">
        <is>
          <t>Revisão</t>
        </is>
      </c>
    </row>
    <row r="1497">
      <c r="A1497" s="40" t="inlineStr">
        <is>
          <t>0001018-27.2023.5.12.0055</t>
        </is>
      </c>
      <c r="B1497" s="40" t="inlineStr">
        <is>
          <t>Outras</t>
        </is>
      </c>
      <c r="D1497" s="67" t="inlineStr">
        <is>
          <t>Renata Francisco Becker</t>
        </is>
      </c>
      <c r="E1497" s="62" t="n">
        <v>45329</v>
      </c>
      <c r="F1497" s="67" t="inlineStr"/>
      <c r="I1497" s="67" t="inlineStr">
        <is>
          <t>5019809-11.2025.8.24.0020</t>
        </is>
      </c>
      <c r="J1497" s="67" t="inlineStr">
        <is>
          <t>Tarefa</t>
        </is>
      </c>
      <c r="K1497" s="62" t="n">
        <v>46078</v>
      </c>
      <c r="L1497" s="67" t="inlineStr">
        <is>
          <t>Pedro Victor</t>
        </is>
      </c>
      <c r="M1497" s="40" t="inlineStr">
        <is>
          <t>Cumprido</t>
        </is>
      </c>
      <c r="N1497" s="62" t="n">
        <v>46078</v>
      </c>
      <c r="O1497" s="67" t="inlineStr">
        <is>
          <t>Revisão</t>
        </is>
      </c>
    </row>
    <row r="1498">
      <c r="A1498" s="40" t="inlineStr">
        <is>
          <t>5001974-44.2024.8.24.0020</t>
        </is>
      </c>
      <c r="B1498" s="40" t="inlineStr">
        <is>
          <t>Outras</t>
        </is>
      </c>
      <c r="D1498" s="67" t="inlineStr">
        <is>
          <t>Pedro Victor</t>
        </is>
      </c>
      <c r="E1498" s="62" t="n">
        <v>45187</v>
      </c>
      <c r="F1498" s="67" t="inlineStr">
        <is>
          <t>juizado especial civel</t>
        </is>
      </c>
      <c r="I1498" s="67" t="inlineStr"/>
      <c r="J1498" s="67" t="inlineStr">
        <is>
          <t>Tarefa</t>
        </is>
      </c>
      <c r="K1498" s="62" t="n">
        <v>46078</v>
      </c>
      <c r="L1498" s="67" t="inlineStr">
        <is>
          <t>Pedro Victor</t>
        </is>
      </c>
      <c r="M1498" s="40" t="inlineStr">
        <is>
          <t>Cumprido</t>
        </is>
      </c>
      <c r="N1498" s="62" t="n">
        <v>46078</v>
      </c>
      <c r="O1498" s="67" t="inlineStr">
        <is>
          <t>Revisão</t>
        </is>
      </c>
    </row>
    <row r="1499">
      <c r="A1499" s="40" t="inlineStr">
        <is>
          <t>0000956-29.2023.5.120041</t>
        </is>
      </c>
      <c r="B1499" s="40" t="inlineStr">
        <is>
          <t>Outras</t>
        </is>
      </c>
      <c r="D1499" s="67" t="inlineStr">
        <is>
          <t>Pedro Victor</t>
        </is>
      </c>
      <c r="E1499" s="62" t="n">
        <v>45247</v>
      </c>
      <c r="F1499" s="67" t="inlineStr">
        <is>
          <t>2ª VARA DO TRABALHO DE TUBARÃO</t>
        </is>
      </c>
      <c r="I1499" s="67" t="inlineStr"/>
      <c r="J1499" s="67" t="inlineStr">
        <is>
          <t>Evento</t>
        </is>
      </c>
      <c r="K1499" s="62" t="n">
        <v>46078</v>
      </c>
      <c r="L1499" s="67" t="inlineStr">
        <is>
          <t>Pedro Victor</t>
        </is>
      </c>
      <c r="M1499" s="40" t="inlineStr">
        <is>
          <t>Cumprido</t>
        </is>
      </c>
      <c r="N1499" s="62" t="n">
        <v>46078</v>
      </c>
      <c r="O1499" s="67" t="inlineStr">
        <is>
          <t xml:space="preserve">atendimento Zanpie </t>
        </is>
      </c>
    </row>
    <row r="1500">
      <c r="A1500" s="40" t="inlineStr">
        <is>
          <t>0000485-30.2023.5.12.0003</t>
        </is>
      </c>
      <c r="B1500" s="40" t="inlineStr">
        <is>
          <t>Outras</t>
        </is>
      </c>
      <c r="D1500" s="67" t="inlineStr">
        <is>
          <t>Renata Francisco Becker</t>
        </is>
      </c>
      <c r="E1500" s="62" t="n">
        <v>45098</v>
      </c>
      <c r="F1500" s="67" t="inlineStr">
        <is>
          <t>1ª VARA DO TRABALHO DE CRICIÚMA</t>
        </is>
      </c>
      <c r="I1500" s="67" t="inlineStr"/>
      <c r="J1500" s="67" t="inlineStr">
        <is>
          <t>Prazo</t>
        </is>
      </c>
      <c r="K1500" s="62" t="n">
        <v>46079</v>
      </c>
      <c r="L1500" s="67" t="inlineStr">
        <is>
          <t>Julia</t>
        </is>
      </c>
      <c r="M1500" s="40" t="inlineStr">
        <is>
          <t>Cumprido</t>
        </is>
      </c>
      <c r="N1500" s="62" t="n">
        <v>46079</v>
      </c>
      <c r="O1500" s="67" t="inlineStr">
        <is>
          <t>Alteração contratual (HF x Bianca)</t>
        </is>
      </c>
    </row>
    <row r="1501">
      <c r="A1501" s="40" t="inlineStr">
        <is>
          <t>0043378-82.2023.8.16.0000</t>
        </is>
      </c>
      <c r="B1501" s="40" t="inlineStr">
        <is>
          <t>Outras</t>
        </is>
      </c>
      <c r="D1501" s="67" t="inlineStr">
        <is>
          <t>Renata Francisco Becker</t>
        </is>
      </c>
      <c r="E1501" s="62" t="n">
        <v>45127</v>
      </c>
      <c r="I1501" s="67" t="inlineStr"/>
      <c r="J1501" s="67" t="inlineStr">
        <is>
          <t>Prazo</t>
        </is>
      </c>
      <c r="K1501" s="62" t="n">
        <v>46079</v>
      </c>
      <c r="L1501" s="67" t="inlineStr">
        <is>
          <t>Julia</t>
        </is>
      </c>
      <c r="M1501" s="40" t="inlineStr">
        <is>
          <t>Cumprido</t>
        </is>
      </c>
      <c r="N1501" s="62" t="n">
        <v>46079</v>
      </c>
      <c r="O1501" s="67" t="inlineStr">
        <is>
          <t>Analisar prosseguimento - Notificação Extrajudicial entregue sem retorno</t>
        </is>
      </c>
    </row>
    <row r="1502">
      <c r="A1502" s="40" t="inlineStr">
        <is>
          <t>5001942-83.2022.8.24.0028</t>
        </is>
      </c>
      <c r="B1502" s="40" t="inlineStr">
        <is>
          <t>Outras</t>
        </is>
      </c>
      <c r="D1502" s="67" t="inlineStr">
        <is>
          <t>Renata Francisco Becker</t>
        </is>
      </c>
      <c r="E1502" s="62" t="n">
        <v>44701</v>
      </c>
      <c r="F1502" s="67" t="inlineStr">
        <is>
          <t>Juizo Da 1ª Vara Da Comarca De Icara</t>
        </is>
      </c>
      <c r="I1502" s="67" t="inlineStr">
        <is>
          <t>5000680-65.2026.8.24.0026</t>
        </is>
      </c>
      <c r="J1502" s="67" t="inlineStr">
        <is>
          <t>Prazo</t>
        </is>
      </c>
      <c r="K1502" s="62" t="n">
        <v>46079</v>
      </c>
      <c r="L1502" s="67" t="inlineStr">
        <is>
          <t xml:space="preserve">Alexia </t>
        </is>
      </c>
      <c r="M1502" s="40" t="inlineStr">
        <is>
          <t>Cumprido</t>
        </is>
      </c>
      <c r="N1502" s="62" t="n">
        <v>46079</v>
      </c>
      <c r="O1502" s="67" t="inlineStr">
        <is>
          <t>Ciência da Sentença de extinção</t>
        </is>
      </c>
    </row>
    <row r="1503">
      <c r="A1503" s="40" t="inlineStr">
        <is>
          <t>5004266-80.2021.8.24.0028</t>
        </is>
      </c>
      <c r="B1503" s="40" t="inlineStr">
        <is>
          <t>Outras</t>
        </is>
      </c>
      <c r="D1503" s="67" t="inlineStr">
        <is>
          <t>Renata Francisco Becker</t>
        </is>
      </c>
      <c r="E1503" s="62" t="n">
        <v>44701</v>
      </c>
      <c r="F1503" s="67" t="inlineStr">
        <is>
          <t>Juizo Da 1ª Vara Da Comarca De Icara</t>
        </is>
      </c>
      <c r="I1503" s="67" t="inlineStr">
        <is>
          <t>5008261-61.2019.8.24.0064</t>
        </is>
      </c>
      <c r="J1503" s="67" t="inlineStr">
        <is>
          <t>Prazo</t>
        </is>
      </c>
      <c r="K1503" s="62" t="n">
        <v>46079</v>
      </c>
      <c r="L1503" s="67" t="inlineStr">
        <is>
          <t>Julia</t>
        </is>
      </c>
      <c r="M1503" s="40" t="inlineStr">
        <is>
          <t>Cumprido</t>
        </is>
      </c>
      <c r="N1503" s="62" t="n">
        <v>46079</v>
      </c>
      <c r="O1503" s="67" t="inlineStr">
        <is>
          <t xml:space="preserve">Cumprimento de Sentença </t>
        </is>
      </c>
    </row>
    <row r="1504">
      <c r="A1504" s="40" t="inlineStr">
        <is>
          <t>0300426-45.2019.8.24.0028</t>
        </is>
      </c>
      <c r="B1504" s="40" t="inlineStr">
        <is>
          <t>Outras</t>
        </is>
      </c>
      <c r="D1504" s="67" t="inlineStr">
        <is>
          <t>Renata Francisco Becker</t>
        </is>
      </c>
      <c r="E1504" s="62" t="n">
        <v>44701</v>
      </c>
      <c r="F1504" s="67" t="inlineStr">
        <is>
          <t>1ª Vara</t>
        </is>
      </c>
      <c r="I1504" s="67" t="inlineStr"/>
      <c r="J1504" s="67" t="inlineStr">
        <is>
          <t>Prazo</t>
        </is>
      </c>
      <c r="K1504" s="62" t="n">
        <v>46079</v>
      </c>
      <c r="L1504" s="67" t="inlineStr">
        <is>
          <t xml:space="preserve">Lucas </t>
        </is>
      </c>
      <c r="M1504" s="40" t="inlineStr">
        <is>
          <t>Cumprido</t>
        </is>
      </c>
      <c r="N1504" s="62" t="n">
        <v>46079</v>
      </c>
      <c r="O1504" s="67" t="inlineStr">
        <is>
          <t>Elaborar autorização de desconto de multa de trânsito</t>
        </is>
      </c>
    </row>
    <row r="1505">
      <c r="A1505" s="40" t="inlineStr">
        <is>
          <t>5003402-42.2021.8.24.0028</t>
        </is>
      </c>
      <c r="B1505" s="40" t="inlineStr">
        <is>
          <t>Outras</t>
        </is>
      </c>
      <c r="D1505" s="67" t="inlineStr">
        <is>
          <t>Renata Francisco Becker</t>
        </is>
      </c>
      <c r="E1505" s="62" t="n">
        <v>44701</v>
      </c>
      <c r="F1505" s="67" t="inlineStr">
        <is>
          <t>Juizo Da 1ª Vara Da Comarca De Icara</t>
        </is>
      </c>
      <c r="I1505" s="67" t="inlineStr">
        <is>
          <t>5051642-09.2026.8.21.7000</t>
        </is>
      </c>
      <c r="J1505" s="67" t="inlineStr">
        <is>
          <t>Prazo</t>
        </is>
      </c>
      <c r="K1505" s="62" t="n">
        <v>46079</v>
      </c>
      <c r="L1505" s="67" t="inlineStr">
        <is>
          <t>Jessica</t>
        </is>
      </c>
      <c r="M1505" s="40" t="inlineStr">
        <is>
          <t>Cumprido</t>
        </is>
      </c>
      <c r="N1505" s="62" t="n">
        <v>46079</v>
      </c>
      <c r="O1505" s="67" t="inlineStr">
        <is>
          <t>Embargos de Declaração</t>
        </is>
      </c>
    </row>
    <row r="1506">
      <c r="A1506" s="40" t="inlineStr">
        <is>
          <t>5000594-30.2022.8.24.0028</t>
        </is>
      </c>
      <c r="B1506" s="40" t="inlineStr">
        <is>
          <t>Outras</t>
        </is>
      </c>
      <c r="D1506" s="67" t="inlineStr">
        <is>
          <t>Renata Francisco Becker</t>
        </is>
      </c>
      <c r="E1506" s="62" t="n">
        <v>44701</v>
      </c>
      <c r="F1506" s="67" t="inlineStr">
        <is>
          <t>Juizo Da 1ª Vara Da Comarca De Icara</t>
        </is>
      </c>
      <c r="I1506" s="67" t="inlineStr"/>
      <c r="J1506" s="67" t="inlineStr">
        <is>
          <t>Prazo</t>
        </is>
      </c>
      <c r="K1506" s="62" t="n">
        <v>46079</v>
      </c>
      <c r="L1506" s="67" t="inlineStr">
        <is>
          <t>Julia</t>
        </is>
      </c>
      <c r="M1506" s="40" t="inlineStr">
        <is>
          <t>Cumprido</t>
        </is>
      </c>
      <c r="N1506" s="62" t="n">
        <v>46079</v>
      </c>
      <c r="O1506" s="67" t="inlineStr">
        <is>
          <t>Notificação Extajudicial</t>
        </is>
      </c>
    </row>
    <row r="1507">
      <c r="A1507" s="40" t="inlineStr">
        <is>
          <t>5000744-19.2021.8.24.0166</t>
        </is>
      </c>
      <c r="B1507" s="40" t="inlineStr">
        <is>
          <t>Outras</t>
        </is>
      </c>
      <c r="D1507" s="67" t="inlineStr">
        <is>
          <t>Renata Francisco Becker</t>
        </is>
      </c>
      <c r="E1507" s="62" t="n">
        <v>44701</v>
      </c>
      <c r="F1507" s="67" t="inlineStr">
        <is>
          <t>Juizo Da Vara Unica Da Comarca De Forquilhinha</t>
        </is>
      </c>
      <c r="I1507" s="67" t="inlineStr">
        <is>
          <t>5005212-03.2026.8.24.0020</t>
        </is>
      </c>
      <c r="J1507" s="67" t="inlineStr">
        <is>
          <t>Prazo</t>
        </is>
      </c>
      <c r="K1507" s="62" t="n">
        <v>46079</v>
      </c>
      <c r="L1507" s="67" t="inlineStr">
        <is>
          <t>Julia</t>
        </is>
      </c>
      <c r="M1507" s="40" t="inlineStr">
        <is>
          <t>Cumprido</t>
        </is>
      </c>
      <c r="N1507" s="62" t="n">
        <v>46079</v>
      </c>
      <c r="O1507" s="67" t="inlineStr">
        <is>
          <t>Petição Inicial (Ação Rescisória)</t>
        </is>
      </c>
    </row>
    <row r="1508">
      <c r="A1508" s="40" t="inlineStr">
        <is>
          <t>5000240-36.2021.8.24.0029</t>
        </is>
      </c>
      <c r="B1508" s="40" t="inlineStr">
        <is>
          <t>Outras</t>
        </is>
      </c>
      <c r="D1508" s="67" t="inlineStr">
        <is>
          <t>Renata Francisco Becker</t>
        </is>
      </c>
      <c r="E1508" s="62" t="n">
        <v>44701</v>
      </c>
      <c r="F1508" s="67" t="inlineStr">
        <is>
          <t>Juizo Da Vara Unica Da Comarca De Imarui</t>
        </is>
      </c>
      <c r="I1508" s="67" t="inlineStr">
        <is>
          <t>00001865320235120003</t>
        </is>
      </c>
      <c r="J1508" s="67" t="inlineStr">
        <is>
          <t>Prazo</t>
        </is>
      </c>
      <c r="K1508" s="62" t="n">
        <v>46079</v>
      </c>
      <c r="L1508" s="67" t="inlineStr">
        <is>
          <t>Luci</t>
        </is>
      </c>
      <c r="M1508" s="40" t="inlineStr">
        <is>
          <t>Cumprido</t>
        </is>
      </c>
      <c r="N1508" s="62" t="n">
        <v>46079</v>
      </c>
      <c r="O1508" s="67" t="inlineStr">
        <is>
          <t>Prazo</t>
        </is>
      </c>
    </row>
    <row r="1509">
      <c r="A1509" s="40" t="inlineStr">
        <is>
          <t>5001715-33.2023.8.24.0166</t>
        </is>
      </c>
      <c r="B1509" s="40" t="inlineStr">
        <is>
          <t>Outras</t>
        </is>
      </c>
      <c r="D1509" s="67" t="inlineStr">
        <is>
          <t>Renata Francisco Becker</t>
        </is>
      </c>
      <c r="E1509" s="62" t="n">
        <v>45117</v>
      </c>
      <c r="F1509" s="67" t="inlineStr">
        <is>
          <t>Juízo da Vara Única da Comarca de Forquilhinha</t>
        </is>
      </c>
      <c r="I1509" s="67" t="inlineStr">
        <is>
          <t>5001401-92.2020.8.24.0166</t>
        </is>
      </c>
      <c r="J1509" s="67" t="inlineStr">
        <is>
          <t>Prazo</t>
        </is>
      </c>
      <c r="K1509" s="62" t="n">
        <v>46079</v>
      </c>
      <c r="L1509" s="67" t="inlineStr">
        <is>
          <t>Jessica</t>
        </is>
      </c>
      <c r="M1509" s="40" t="inlineStr">
        <is>
          <t>Cumprido</t>
        </is>
      </c>
      <c r="N1509" s="62" t="n">
        <v>46079</v>
      </c>
      <c r="O1509" s="67" t="inlineStr">
        <is>
          <t>Prazo</t>
        </is>
      </c>
    </row>
    <row r="1510">
      <c r="A1510" s="40" t="inlineStr">
        <is>
          <t>00012073220108240166</t>
        </is>
      </c>
      <c r="B1510" s="40" t="inlineStr">
        <is>
          <t>Outras</t>
        </is>
      </c>
      <c r="D1510" s="67" t="inlineStr">
        <is>
          <t>Renata Francisco Becker</t>
        </is>
      </c>
      <c r="E1510" s="62" t="n">
        <v>45317</v>
      </c>
      <c r="F1510" s="67" t="inlineStr"/>
      <c r="I1510" s="67" t="inlineStr">
        <is>
          <t>5000678-95.2026.8.24.0026</t>
        </is>
      </c>
      <c r="J1510" s="67" t="inlineStr">
        <is>
          <t>Prazo</t>
        </is>
      </c>
      <c r="K1510" s="62" t="n">
        <v>46079</v>
      </c>
      <c r="L1510" s="67" t="inlineStr">
        <is>
          <t xml:space="preserve">Alexia </t>
        </is>
      </c>
      <c r="M1510" s="40" t="inlineStr">
        <is>
          <t>Cumprido</t>
        </is>
      </c>
      <c r="N1510" s="62" t="n">
        <v>46079</v>
      </c>
      <c r="O1510" s="67" t="inlineStr">
        <is>
          <t>Prazo</t>
        </is>
      </c>
    </row>
    <row r="1511">
      <c r="A1511" s="40" t="inlineStr">
        <is>
          <t>5014781-67.2022.8.24.0020</t>
        </is>
      </c>
      <c r="B1511" s="40" t="inlineStr">
        <is>
          <t>Outras</t>
        </is>
      </c>
      <c r="D1511" s="67" t="inlineStr">
        <is>
          <t>Renata Francisco Becker</t>
        </is>
      </c>
      <c r="E1511" s="62" t="n">
        <v>44761</v>
      </c>
      <c r="F1511" s="67" t="inlineStr">
        <is>
          <t>Juízo da 2ª Vara Cível da Comarca de Criciúma</t>
        </is>
      </c>
      <c r="I1511" s="67" t="inlineStr">
        <is>
          <t>0001656-76.2025.5.12.0027</t>
        </is>
      </c>
      <c r="J1511" s="67" t="inlineStr">
        <is>
          <t>Prazo</t>
        </is>
      </c>
      <c r="K1511" s="62" t="n">
        <v>46079</v>
      </c>
      <c r="L1511" s="67" t="inlineStr">
        <is>
          <t>Luci</t>
        </is>
      </c>
      <c r="M1511" s="40" t="inlineStr">
        <is>
          <t>Cumprido</t>
        </is>
      </c>
      <c r="N1511" s="62" t="n">
        <v>46079</v>
      </c>
      <c r="O1511" s="67" t="inlineStr">
        <is>
          <t>Prazo</t>
        </is>
      </c>
    </row>
    <row r="1512">
      <c r="A1512" s="40" t="inlineStr">
        <is>
          <t>0000950-83.2022.5.12.0032</t>
        </is>
      </c>
      <c r="B1512" s="40" t="inlineStr">
        <is>
          <t>Outras</t>
        </is>
      </c>
      <c r="D1512" s="67" t="inlineStr">
        <is>
          <t>Renata Francisco Becker</t>
        </is>
      </c>
      <c r="E1512" s="62" t="n">
        <v>44889</v>
      </c>
      <c r="F1512" s="67" t="inlineStr"/>
      <c r="I1512" s="67" t="inlineStr">
        <is>
          <t>5001164-58.2020.8.24.0166</t>
        </is>
      </c>
      <c r="J1512" s="67" t="inlineStr">
        <is>
          <t>Prazo</t>
        </is>
      </c>
      <c r="K1512" s="62" t="n">
        <v>46079</v>
      </c>
      <c r="L1512" s="67" t="inlineStr">
        <is>
          <t>Pedro Victor</t>
        </is>
      </c>
      <c r="M1512" s="40" t="inlineStr">
        <is>
          <t>Cumprido</t>
        </is>
      </c>
      <c r="N1512" s="62" t="n">
        <v>46079</v>
      </c>
      <c r="O1512" s="67" t="inlineStr">
        <is>
          <t>Prazo</t>
        </is>
      </c>
    </row>
    <row r="1513">
      <c r="A1513" s="40" t="inlineStr">
        <is>
          <t>0000203-94.2020.5.12.0003</t>
        </is>
      </c>
      <c r="B1513" s="40" t="inlineStr">
        <is>
          <t>Outras</t>
        </is>
      </c>
      <c r="D1513" s="67" t="inlineStr">
        <is>
          <t>Renata Francisco Becker</t>
        </is>
      </c>
      <c r="E1513" s="62" t="n">
        <v>44725</v>
      </c>
      <c r="F1513" s="67" t="inlineStr">
        <is>
          <t>1ª VARA DO TRABALHO DE CRICIÚMA</t>
        </is>
      </c>
      <c r="I1513" s="67" t="inlineStr"/>
      <c r="J1513" s="67" t="inlineStr">
        <is>
          <t>Evento</t>
        </is>
      </c>
      <c r="K1513" s="62" t="n">
        <v>46079</v>
      </c>
      <c r="L1513" s="67" t="inlineStr">
        <is>
          <t>Luci</t>
        </is>
      </c>
      <c r="M1513" s="40" t="inlineStr">
        <is>
          <t>Cumprido</t>
        </is>
      </c>
      <c r="N1513" s="62" t="n">
        <v>46079</v>
      </c>
      <c r="O1513" s="67" t="inlineStr">
        <is>
          <t xml:space="preserve">fazer procuração do josé e do everton </t>
        </is>
      </c>
    </row>
    <row r="1514">
      <c r="A1514" s="40" t="inlineStr">
        <is>
          <t>5000549-84.2021.8.24.0020</t>
        </is>
      </c>
      <c r="B1514" s="40" t="inlineStr">
        <is>
          <t>Outras</t>
        </is>
      </c>
      <c r="D1514" s="67" t="inlineStr">
        <is>
          <t>Renata Francisco Becker</t>
        </is>
      </c>
      <c r="E1514" s="62" t="n">
        <v>44701</v>
      </c>
      <c r="F1514" s="67" t="inlineStr">
        <is>
          <t>Juizo Da 1ª Vara Civel Da Comarca De Criciuma</t>
        </is>
      </c>
      <c r="I1514" s="67" t="inlineStr"/>
      <c r="J1514" s="67" t="inlineStr">
        <is>
          <t>Tarefa</t>
        </is>
      </c>
      <c r="K1514" s="62" t="n">
        <v>46079</v>
      </c>
      <c r="L1514" s="67" t="inlineStr">
        <is>
          <t xml:space="preserve">Lucas </t>
        </is>
      </c>
      <c r="M1514" s="40" t="inlineStr">
        <is>
          <t>Cumprido</t>
        </is>
      </c>
      <c r="N1514" s="62" t="n">
        <v>46079</v>
      </c>
      <c r="O1514" s="67" t="inlineStr">
        <is>
          <t>Protocolo</t>
        </is>
      </c>
    </row>
    <row r="1515">
      <c r="A1515" s="40" t="inlineStr">
        <is>
          <t>0001048-24.2023.5.12.0003</t>
        </is>
      </c>
      <c r="B1515" s="40" t="inlineStr">
        <is>
          <t>Outras</t>
        </is>
      </c>
      <c r="D1515" s="67" t="inlineStr">
        <is>
          <t>Renata Francisco Becker</t>
        </is>
      </c>
      <c r="E1515" s="62" t="n">
        <v>45252</v>
      </c>
      <c r="F1515" s="67" t="inlineStr">
        <is>
          <t>1ª VARA DO TRABALHO DE CRICIÚMA</t>
        </is>
      </c>
      <c r="I1515" s="67" t="inlineStr"/>
      <c r="J1515" s="67" t="inlineStr">
        <is>
          <t>Tarefa</t>
        </is>
      </c>
      <c r="K1515" s="62" t="n">
        <v>46079</v>
      </c>
      <c r="L1515" s="67" t="inlineStr">
        <is>
          <t xml:space="preserve">Lucas </t>
        </is>
      </c>
      <c r="M1515" s="40" t="inlineStr">
        <is>
          <t>Cumprido</t>
        </is>
      </c>
      <c r="N1515" s="62" t="n">
        <v>46079</v>
      </c>
      <c r="O1515" s="67" t="inlineStr">
        <is>
          <t>Protocolo</t>
        </is>
      </c>
    </row>
    <row r="1516">
      <c r="A1516" s="40" t="inlineStr">
        <is>
          <t>0025984-44.2023.8.24.0710</t>
        </is>
      </c>
      <c r="B1516" s="40" t="inlineStr">
        <is>
          <t>Outras</t>
        </is>
      </c>
      <c r="D1516" s="67" t="inlineStr">
        <is>
          <t>Pedro Victor</t>
        </is>
      </c>
      <c r="E1516" s="62" t="n">
        <v>45100</v>
      </c>
      <c r="F1516" s="67" t="inlineStr"/>
      <c r="I1516" s="67" t="inlineStr"/>
      <c r="J1516" s="67" t="inlineStr">
        <is>
          <t>Tarefa</t>
        </is>
      </c>
      <c r="K1516" s="62" t="n">
        <v>46079</v>
      </c>
      <c r="L1516" s="67" t="inlineStr">
        <is>
          <t xml:space="preserve">Lucas </t>
        </is>
      </c>
      <c r="M1516" s="40" t="inlineStr">
        <is>
          <t>Cumprido</t>
        </is>
      </c>
      <c r="N1516" s="62" t="n">
        <v>46079</v>
      </c>
      <c r="O1516" s="67" t="inlineStr">
        <is>
          <t>Protocolo</t>
        </is>
      </c>
    </row>
    <row r="1517">
      <c r="A1517" s="40" t="n"/>
      <c r="B1517" s="40" t="inlineStr">
        <is>
          <t>Outras</t>
        </is>
      </c>
      <c r="D1517" s="67" t="inlineStr">
        <is>
          <t>Renata Francisco Becker</t>
        </is>
      </c>
      <c r="E1517" s="62" t="n">
        <v>45251</v>
      </c>
      <c r="I1517" s="67" t="inlineStr"/>
      <c r="J1517" s="67" t="inlineStr">
        <is>
          <t>Tarefa</t>
        </is>
      </c>
      <c r="K1517" s="62" t="n">
        <v>46079</v>
      </c>
      <c r="L1517" s="67" t="inlineStr">
        <is>
          <t>Jessica</t>
        </is>
      </c>
      <c r="M1517" s="40" t="inlineStr">
        <is>
          <t>Cumprido</t>
        </is>
      </c>
      <c r="N1517" s="62" t="n">
        <v>46079</v>
      </c>
      <c r="O1517" s="67" t="inlineStr">
        <is>
          <t>Protocolo</t>
        </is>
      </c>
    </row>
    <row r="1518">
      <c r="A1518" s="40" t="n"/>
      <c r="B1518" s="40" t="inlineStr">
        <is>
          <t>Outras</t>
        </is>
      </c>
      <c r="D1518" s="67" t="inlineStr">
        <is>
          <t>Pedro Victor</t>
        </is>
      </c>
      <c r="E1518" s="62" t="n">
        <v>45247</v>
      </c>
      <c r="I1518" s="67" t="inlineStr">
        <is>
          <t>0001324-12.2025.5.12.0027</t>
        </is>
      </c>
      <c r="J1518" s="67" t="inlineStr">
        <is>
          <t>Tarefa</t>
        </is>
      </c>
      <c r="K1518" s="62" t="n">
        <v>46079</v>
      </c>
      <c r="L1518" s="67" t="inlineStr">
        <is>
          <t>Pedro Victor</t>
        </is>
      </c>
      <c r="M1518" s="40" t="inlineStr">
        <is>
          <t>Cumprido</t>
        </is>
      </c>
      <c r="N1518" s="62" t="n">
        <v>46079</v>
      </c>
      <c r="O1518" s="67" t="inlineStr">
        <is>
          <t>Revisão</t>
        </is>
      </c>
    </row>
    <row r="1519">
      <c r="A1519" s="40" t="inlineStr">
        <is>
          <t>50016063620228240010</t>
        </is>
      </c>
      <c r="B1519" s="40" t="inlineStr">
        <is>
          <t>Outras</t>
        </is>
      </c>
      <c r="D1519" s="67" t="inlineStr">
        <is>
          <t>Pedro Victor</t>
        </is>
      </c>
      <c r="E1519" s="62" t="n">
        <v>45016</v>
      </c>
      <c r="F1519" s="67" t="inlineStr">
        <is>
          <t>Juízo da 1ª Vara Cível da Comarca de Braço do Norte</t>
        </is>
      </c>
      <c r="I1519" s="67" t="inlineStr">
        <is>
          <t>5008937-34.2025.8.24.0020</t>
        </is>
      </c>
      <c r="J1519" s="67" t="inlineStr">
        <is>
          <t>Tarefa</t>
        </is>
      </c>
      <c r="K1519" s="62" t="n">
        <v>46079</v>
      </c>
      <c r="L1519" s="67" t="inlineStr">
        <is>
          <t>Pedro Victor</t>
        </is>
      </c>
      <c r="M1519" s="40" t="inlineStr">
        <is>
          <t>Cumprido</t>
        </is>
      </c>
      <c r="N1519" s="62" t="n">
        <v>46079</v>
      </c>
      <c r="O1519" s="67" t="inlineStr">
        <is>
          <t>Revisão</t>
        </is>
      </c>
    </row>
    <row r="1520">
      <c r="A1520" s="40" t="inlineStr">
        <is>
          <t>5029330-45.2022.8.24.0000</t>
        </is>
      </c>
      <c r="B1520" s="40" t="inlineStr">
        <is>
          <t>Outras</t>
        </is>
      </c>
      <c r="D1520" s="67" t="inlineStr">
        <is>
          <t>Renata Francisco Becker</t>
        </is>
      </c>
      <c r="E1520" s="62" t="n">
        <v>44720</v>
      </c>
      <c r="F1520" s="67" t="inlineStr"/>
      <c r="I1520" s="67" t="inlineStr">
        <is>
          <t>0000558-02.2023.5.12.0003</t>
        </is>
      </c>
      <c r="J1520" s="67" t="inlineStr">
        <is>
          <t>Tarefa</t>
        </is>
      </c>
      <c r="K1520" s="62" t="n">
        <v>46079</v>
      </c>
      <c r="L1520" s="67" t="inlineStr">
        <is>
          <t>Renata Francisco Becker</t>
        </is>
      </c>
      <c r="M1520" s="40" t="inlineStr">
        <is>
          <t>Cumprido</t>
        </is>
      </c>
      <c r="N1520" s="62" t="n">
        <v>46079</v>
      </c>
      <c r="O1520" s="67" t="inlineStr">
        <is>
          <t>Revisão</t>
        </is>
      </c>
    </row>
    <row r="1521">
      <c r="A1521" s="40" t="inlineStr">
        <is>
          <t>5000507-89.2020.8.24.0078</t>
        </is>
      </c>
      <c r="B1521" s="40" t="inlineStr">
        <is>
          <t>Outras</t>
        </is>
      </c>
      <c r="D1521" s="67" t="inlineStr">
        <is>
          <t>Renata Francisco Becker</t>
        </is>
      </c>
      <c r="E1521" s="62" t="n">
        <v>45155</v>
      </c>
      <c r="F1521" s="67" t="inlineStr"/>
      <c r="I1521" s="67" t="inlineStr">
        <is>
          <t>5029854-74.2025.8.24.0020</t>
        </is>
      </c>
      <c r="J1521" s="67" t="inlineStr">
        <is>
          <t>Tarefa</t>
        </is>
      </c>
      <c r="K1521" s="62" t="n">
        <v>46079</v>
      </c>
      <c r="L1521" s="67" t="inlineStr">
        <is>
          <t>Pedro Victor</t>
        </is>
      </c>
      <c r="M1521" s="40" t="inlineStr">
        <is>
          <t>Cumprido</t>
        </is>
      </c>
      <c r="N1521" s="62" t="n">
        <v>46079</v>
      </c>
      <c r="O1521" s="67" t="inlineStr">
        <is>
          <t>Revisão</t>
        </is>
      </c>
    </row>
    <row r="1522">
      <c r="A1522" s="40" t="inlineStr">
        <is>
          <t>5004636-25.2022.8.24.0028</t>
        </is>
      </c>
      <c r="B1522" s="40" t="inlineStr">
        <is>
          <t>Outras</t>
        </is>
      </c>
      <c r="D1522" s="67" t="inlineStr">
        <is>
          <t>Renata Francisco Becker</t>
        </is>
      </c>
      <c r="E1522" s="62" t="n">
        <v>44789</v>
      </c>
      <c r="F1522" s="67" t="inlineStr">
        <is>
          <t>Juízo da 1ª Vara da Comarca de Içara</t>
        </is>
      </c>
      <c r="I1522" s="67" t="inlineStr"/>
      <c r="J1522" s="67" t="inlineStr">
        <is>
          <t>Tarefa</t>
        </is>
      </c>
      <c r="K1522" s="62" t="n">
        <v>46079</v>
      </c>
      <c r="L1522" s="67" t="inlineStr">
        <is>
          <t>Pedro Victor</t>
        </is>
      </c>
      <c r="M1522" s="40" t="inlineStr">
        <is>
          <t>Cumprido</t>
        </is>
      </c>
      <c r="N1522" s="62" t="n">
        <v>46079</v>
      </c>
      <c r="O1522" s="67" t="inlineStr">
        <is>
          <t>Revisão</t>
        </is>
      </c>
    </row>
    <row r="1523">
      <c r="A1523" s="40" t="inlineStr">
        <is>
          <t>03013368020188240069</t>
        </is>
      </c>
      <c r="B1523" s="40" t="inlineStr">
        <is>
          <t>Outras</t>
        </is>
      </c>
      <c r="D1523" s="67" t="inlineStr">
        <is>
          <t>Renata Francisco Becker</t>
        </is>
      </c>
      <c r="E1523" s="62" t="n">
        <v>45219</v>
      </c>
      <c r="F1523" s="67" t="inlineStr"/>
      <c r="I1523" s="67" t="inlineStr">
        <is>
          <t>5006323-56.2025.8.24.0020</t>
        </is>
      </c>
      <c r="J1523" s="67" t="inlineStr">
        <is>
          <t>Tarefa</t>
        </is>
      </c>
      <c r="K1523" s="62" t="n">
        <v>46079</v>
      </c>
      <c r="L1523" s="67" t="inlineStr">
        <is>
          <t>Pedro Victor</t>
        </is>
      </c>
      <c r="M1523" s="40" t="inlineStr">
        <is>
          <t>Cumprido</t>
        </is>
      </c>
      <c r="N1523" s="62" t="n">
        <v>46079</v>
      </c>
      <c r="O1523" s="67" t="inlineStr">
        <is>
          <t>Revisão</t>
        </is>
      </c>
    </row>
    <row r="1524">
      <c r="A1524" s="40" t="inlineStr">
        <is>
          <t>5043076-14.2021.8.24.0000</t>
        </is>
      </c>
      <c r="B1524" s="40" t="inlineStr">
        <is>
          <t>Outras</t>
        </is>
      </c>
      <c r="D1524" s="67" t="inlineStr">
        <is>
          <t>Renata Francisco Becker</t>
        </is>
      </c>
      <c r="E1524" s="62" t="n">
        <v>45215</v>
      </c>
      <c r="F1524" s="67" t="inlineStr"/>
      <c r="I1524" s="67" t="inlineStr"/>
      <c r="J1524" s="67" t="inlineStr">
        <is>
          <t>Tarefa</t>
        </is>
      </c>
      <c r="K1524" s="62" t="n">
        <v>46079</v>
      </c>
      <c r="L1524" s="67" t="inlineStr">
        <is>
          <t>Pedro Victor</t>
        </is>
      </c>
      <c r="M1524" s="40" t="inlineStr">
        <is>
          <t>Cumprido</t>
        </is>
      </c>
      <c r="N1524" s="62" t="n">
        <v>46079</v>
      </c>
      <c r="O1524" s="67" t="inlineStr">
        <is>
          <t>Revisão (Documentos de implementação)</t>
        </is>
      </c>
    </row>
    <row r="1525">
      <c r="A1525" s="40" t="inlineStr">
        <is>
          <t>5044999-75.2021.8.24.0000</t>
        </is>
      </c>
      <c r="B1525" s="40" t="inlineStr">
        <is>
          <t>Outras</t>
        </is>
      </c>
      <c r="D1525" s="67" t="inlineStr">
        <is>
          <t>Renata Francisco Becker</t>
        </is>
      </c>
      <c r="E1525" s="62" t="n">
        <v>45209</v>
      </c>
      <c r="F1525" s="67" t="inlineStr"/>
      <c r="I1525" s="67" t="inlineStr"/>
      <c r="J1525" s="67" t="inlineStr">
        <is>
          <t>Tarefa</t>
        </is>
      </c>
      <c r="K1525" s="62" t="n">
        <v>46079</v>
      </c>
      <c r="L1525" s="67" t="inlineStr">
        <is>
          <t>Pedro Victor</t>
        </is>
      </c>
      <c r="M1525" s="40" t="inlineStr">
        <is>
          <t>Cumprido</t>
        </is>
      </c>
      <c r="N1525" s="62" t="n">
        <v>46079</v>
      </c>
      <c r="O1525" s="67" t="inlineStr">
        <is>
          <t>Revisão (Documentos de implementação)</t>
        </is>
      </c>
    </row>
    <row r="1526">
      <c r="A1526" s="40" t="inlineStr">
        <is>
          <t>0310609-41.2015.8.24.0020</t>
        </is>
      </c>
      <c r="B1526" s="40" t="inlineStr">
        <is>
          <t>Outras</t>
        </is>
      </c>
      <c r="D1526" s="67" t="inlineStr">
        <is>
          <t>Renata Francisco Becker</t>
        </is>
      </c>
      <c r="E1526" s="62" t="n">
        <v>44735</v>
      </c>
      <c r="F1526" s="67" t="inlineStr">
        <is>
          <t>Juízo do Juizado Especial Cível da Comarca de Criciúma</t>
        </is>
      </c>
      <c r="I1526" s="67" t="inlineStr"/>
      <c r="J1526" s="67" t="inlineStr">
        <is>
          <t>Tarefa</t>
        </is>
      </c>
      <c r="K1526" s="62" t="n">
        <v>46079</v>
      </c>
      <c r="L1526" s="67" t="inlineStr">
        <is>
          <t>Marelize Controladoria</t>
        </is>
      </c>
      <c r="M1526" s="40" t="inlineStr">
        <is>
          <t>Cumprido</t>
        </is>
      </c>
      <c r="N1526" s="62" t="n">
        <v>46079</v>
      </c>
      <c r="O1526" s="67" t="inlineStr">
        <is>
          <t>26/02/2026 - Conferir prazos no TJs - TJSC - TJRS - TRT12 - TRF4 - JFSC - TJRJ - TJPR - TJPA - TJSP - TJGO;</t>
        </is>
      </c>
    </row>
    <row r="1527">
      <c r="A1527" s="40" t="inlineStr">
        <is>
          <t>50088219620238240020</t>
        </is>
      </c>
      <c r="B1527" s="40" t="inlineStr">
        <is>
          <t>Outras</t>
        </is>
      </c>
      <c r="D1527" s="67" t="inlineStr">
        <is>
          <t>Renata Francisco Becker</t>
        </is>
      </c>
      <c r="E1527" s="62" t="n">
        <v>45218</v>
      </c>
      <c r="F1527" s="67" t="inlineStr"/>
      <c r="I1527" s="67" t="inlineStr"/>
      <c r="J1527" s="67" t="inlineStr">
        <is>
          <t>Tarefa</t>
        </is>
      </c>
      <c r="K1527" s="62" t="n">
        <v>46079</v>
      </c>
      <c r="L1527" s="67" t="inlineStr">
        <is>
          <t>Marelize Controladoria</t>
        </is>
      </c>
      <c r="M1527" s="40" t="inlineStr">
        <is>
          <t>Cumprido</t>
        </is>
      </c>
      <c r="N1527" s="62" t="n">
        <v>46079</v>
      </c>
      <c r="O1527" s="67" t="inlineStr">
        <is>
          <t>26/02/2026 - Fazer Agendas.</t>
        </is>
      </c>
    </row>
    <row r="1528">
      <c r="A1528" s="40" t="inlineStr">
        <is>
          <t>0002740-95.2018.8.24.0020</t>
        </is>
      </c>
      <c r="B1528" s="40" t="inlineStr">
        <is>
          <t>Outras</t>
        </is>
      </c>
      <c r="D1528" s="67" t="inlineStr">
        <is>
          <t>Renata Francisco Becker</t>
        </is>
      </c>
      <c r="E1528" s="62" t="n">
        <v>44726</v>
      </c>
      <c r="F1528" s="67" t="inlineStr">
        <is>
          <t>Juízo do Juizado Especial Cível da Comarca de Criciúma</t>
        </is>
      </c>
      <c r="I1528" s="67" t="inlineStr"/>
      <c r="J1528" s="67" t="inlineStr">
        <is>
          <t>Tarefa</t>
        </is>
      </c>
      <c r="K1528" s="62" t="n">
        <v>46079</v>
      </c>
      <c r="L1528" s="67" t="inlineStr">
        <is>
          <t>Marelize Controladoria</t>
        </is>
      </c>
      <c r="M1528" s="40" t="inlineStr">
        <is>
          <t>Cumprido</t>
        </is>
      </c>
      <c r="N1528" s="62" t="n">
        <v>46079</v>
      </c>
      <c r="O1528" s="67" t="inlineStr">
        <is>
          <t>26/02/2026 - Fazer Publicações.</t>
        </is>
      </c>
    </row>
    <row r="1529">
      <c r="A1529" s="40" t="inlineStr">
        <is>
          <t>0302160-02.2017.8.24.0028</t>
        </is>
      </c>
      <c r="B1529" s="40" t="inlineStr">
        <is>
          <t>Outras</t>
        </is>
      </c>
      <c r="D1529" s="67" t="inlineStr">
        <is>
          <t>Renata Francisco Becker</t>
        </is>
      </c>
      <c r="E1529" s="62" t="n">
        <v>44701</v>
      </c>
      <c r="F1529" s="67" t="inlineStr">
        <is>
          <t>Juizo Da 1ª Vara Da Comarca De Icara</t>
        </is>
      </c>
      <c r="I1529" s="67" t="inlineStr"/>
      <c r="J1529" s="67" t="inlineStr">
        <is>
          <t>Tarefa</t>
        </is>
      </c>
      <c r="K1529" s="62" t="n">
        <v>46079</v>
      </c>
      <c r="L1529" s="67" t="inlineStr">
        <is>
          <t>Marelize Controladoria</t>
        </is>
      </c>
      <c r="M1529" s="40" t="inlineStr">
        <is>
          <t>Cumprido</t>
        </is>
      </c>
      <c r="N1529" s="62" t="n">
        <v>46079</v>
      </c>
      <c r="O1529" s="67" t="inlineStr">
        <is>
          <t>26/02/2026 - Olhar E-mails.</t>
        </is>
      </c>
    </row>
    <row r="1530">
      <c r="A1530" s="40" t="inlineStr">
        <is>
          <t>5010666-44.2020.4.04.7204</t>
        </is>
      </c>
      <c r="B1530" s="40" t="inlineStr">
        <is>
          <t>Outras</t>
        </is>
      </c>
      <c r="D1530" s="67" t="inlineStr">
        <is>
          <t>Renata Francisco Becker</t>
        </is>
      </c>
      <c r="E1530" s="62" t="n">
        <v>44802</v>
      </c>
      <c r="F1530" s="67" t="inlineStr">
        <is>
          <t>Juízo Federal da 1ª VF de Tubarão</t>
        </is>
      </c>
      <c r="I1530" s="67" t="inlineStr"/>
      <c r="J1530" s="67" t="inlineStr">
        <is>
          <t>Tarefa</t>
        </is>
      </c>
      <c r="K1530" s="62" t="n">
        <v>46079</v>
      </c>
      <c r="L1530" s="67" t="inlineStr">
        <is>
          <t>Jessica</t>
        </is>
      </c>
      <c r="M1530" s="40" t="inlineStr">
        <is>
          <t>Cumprido</t>
        </is>
      </c>
      <c r="N1530" s="62" t="n">
        <v>46079</v>
      </c>
      <c r="O1530" s="67" t="inlineStr">
        <is>
          <t>Clausula tributária</t>
        </is>
      </c>
    </row>
    <row r="1531">
      <c r="A1531" s="40" t="inlineStr">
        <is>
          <t>5042015-21.2021.8.24.0000</t>
        </is>
      </c>
      <c r="B1531" s="40" t="inlineStr">
        <is>
          <t>Outras</t>
        </is>
      </c>
      <c r="D1531" s="67" t="inlineStr">
        <is>
          <t>Renata Francisco Becker</t>
        </is>
      </c>
      <c r="E1531" s="62" t="n">
        <v>45222</v>
      </c>
      <c r="F1531" s="67" t="inlineStr"/>
      <c r="I1531" s="67" t="inlineStr"/>
      <c r="J1531" s="67" t="inlineStr">
        <is>
          <t>Tarefa</t>
        </is>
      </c>
      <c r="K1531" s="62" t="n">
        <v>46079</v>
      </c>
      <c r="L1531" s="67" t="inlineStr">
        <is>
          <t>Julia</t>
        </is>
      </c>
      <c r="M1531" s="40" t="inlineStr">
        <is>
          <t>Cumprido</t>
        </is>
      </c>
      <c r="N1531" s="62" t="n">
        <v>46079</v>
      </c>
      <c r="O1531" s="67" t="inlineStr">
        <is>
          <t>Finalização</t>
        </is>
      </c>
    </row>
    <row r="1532">
      <c r="A1532" s="40" t="n"/>
      <c r="B1532" s="40" t="inlineStr">
        <is>
          <t>Outras</t>
        </is>
      </c>
      <c r="D1532" s="67" t="inlineStr">
        <is>
          <t>Renata Francisco Becker</t>
        </is>
      </c>
      <c r="E1532" s="62" t="n">
        <v>45215</v>
      </c>
      <c r="I1532" s="67" t="inlineStr">
        <is>
          <t>5000591-54.2019.8.24.0166</t>
        </is>
      </c>
      <c r="J1532" s="67" t="inlineStr">
        <is>
          <t>Tarefa</t>
        </is>
      </c>
      <c r="K1532" s="62" t="n">
        <v>46079</v>
      </c>
      <c r="L1532" s="67" t="inlineStr">
        <is>
          <t>Jessica</t>
        </is>
      </c>
      <c r="M1532" s="40" t="inlineStr">
        <is>
          <t>Cumprido</t>
        </is>
      </c>
      <c r="N1532" s="62" t="n">
        <v>46079</v>
      </c>
      <c r="O1532" s="67" t="inlineStr">
        <is>
          <t>Finalização</t>
        </is>
      </c>
    </row>
    <row r="1533">
      <c r="A1533" s="40" t="inlineStr">
        <is>
          <t>5001512-08.2022.8.24.0166</t>
        </is>
      </c>
      <c r="B1533" s="40" t="inlineStr">
        <is>
          <t>Outras</t>
        </is>
      </c>
      <c r="D1533" s="67" t="inlineStr">
        <is>
          <t>Renata Francisco Becker</t>
        </is>
      </c>
      <c r="E1533" s="62" t="n">
        <v>44944</v>
      </c>
      <c r="F1533" s="67" t="inlineStr">
        <is>
          <t>Juízo da Vara Única da Comarca de Forquilhinha</t>
        </is>
      </c>
      <c r="I1533" s="67" t="inlineStr"/>
      <c r="J1533" s="67" t="inlineStr">
        <is>
          <t>Tarefa</t>
        </is>
      </c>
      <c r="K1533" s="62" t="n">
        <v>46079</v>
      </c>
      <c r="L1533" s="67" t="inlineStr">
        <is>
          <t>Jessica</t>
        </is>
      </c>
      <c r="M1533" s="40" t="inlineStr">
        <is>
          <t>Cumprido</t>
        </is>
      </c>
      <c r="N1533" s="62" t="n">
        <v>46079</v>
      </c>
      <c r="O1533" s="67" t="inlineStr">
        <is>
          <t>Finalização</t>
        </is>
      </c>
    </row>
    <row r="1534">
      <c r="A1534" s="40" t="inlineStr">
        <is>
          <t>5001232-71.2021.8.24.0166</t>
        </is>
      </c>
      <c r="B1534" s="40" t="inlineStr">
        <is>
          <t>Outras</t>
        </is>
      </c>
      <c r="D1534" s="67" t="inlineStr">
        <is>
          <t>Renata Francisco Becker</t>
        </is>
      </c>
      <c r="E1534" s="62" t="n">
        <v>44711</v>
      </c>
      <c r="F1534" s="67" t="inlineStr">
        <is>
          <t>Juízo da Vara Única da Comarca de Forquilhinha</t>
        </is>
      </c>
      <c r="I1534" s="67" t="inlineStr">
        <is>
          <t>5029778-84.2024.8.24.0020</t>
        </is>
      </c>
      <c r="J1534" s="67" t="inlineStr">
        <is>
          <t>Tarefa</t>
        </is>
      </c>
      <c r="K1534" s="62" t="n">
        <v>46079</v>
      </c>
      <c r="L1534" s="67" t="inlineStr">
        <is>
          <t>Pedro Victor</t>
        </is>
      </c>
      <c r="M1534" s="40" t="inlineStr">
        <is>
          <t>Cumprido</t>
        </is>
      </c>
      <c r="N1534" s="62" t="n">
        <v>46079</v>
      </c>
      <c r="O1534" s="67" t="inlineStr">
        <is>
          <t>Protocolo</t>
        </is>
      </c>
    </row>
    <row r="1535">
      <c r="A1535" s="40" t="inlineStr">
        <is>
          <t>5013758-64.2019.4.04.7204</t>
        </is>
      </c>
      <c r="B1535" s="40" t="inlineStr">
        <is>
          <t>Outras</t>
        </is>
      </c>
      <c r="D1535" s="67" t="inlineStr">
        <is>
          <t>Renata Francisco Becker</t>
        </is>
      </c>
      <c r="E1535" s="62" t="n">
        <v>44802</v>
      </c>
      <c r="F1535" s="67" t="inlineStr">
        <is>
          <t>Juízo Substituto da 1ª VF de Tubarão</t>
        </is>
      </c>
      <c r="I1535" s="67" t="inlineStr"/>
      <c r="J1535" s="67" t="inlineStr">
        <is>
          <t>Tarefa</t>
        </is>
      </c>
      <c r="K1535" s="62" t="n">
        <v>46079</v>
      </c>
      <c r="L1535" s="67" t="inlineStr">
        <is>
          <t xml:space="preserve">Lucas </t>
        </is>
      </c>
      <c r="M1535" s="40" t="inlineStr">
        <is>
          <t>Cumprido</t>
        </is>
      </c>
      <c r="N1535" s="62" t="n">
        <v>46079</v>
      </c>
      <c r="O1535" s="67" t="inlineStr">
        <is>
          <t>Protocolo</t>
        </is>
      </c>
    </row>
    <row r="1536">
      <c r="A1536" s="40" t="inlineStr">
        <is>
          <t>50500.172260/2023-18</t>
        </is>
      </c>
      <c r="B1536" s="40" t="inlineStr">
        <is>
          <t>Outras</t>
        </is>
      </c>
      <c r="D1536" s="67" t="inlineStr">
        <is>
          <t>Pedro Victor</t>
        </is>
      </c>
      <c r="E1536" s="62" t="n">
        <v>45111</v>
      </c>
      <c r="F1536" s="67" t="inlineStr"/>
      <c r="I1536" s="67" t="inlineStr"/>
      <c r="J1536" s="67" t="inlineStr">
        <is>
          <t>Tarefa</t>
        </is>
      </c>
      <c r="K1536" s="62" t="n">
        <v>46079</v>
      </c>
      <c r="L1536" s="67" t="inlineStr">
        <is>
          <t xml:space="preserve">Lucas </t>
        </is>
      </c>
      <c r="M1536" s="40" t="inlineStr">
        <is>
          <t>Cumprido</t>
        </is>
      </c>
      <c r="N1536" s="62" t="n">
        <v>46079</v>
      </c>
      <c r="O1536" s="67" t="inlineStr">
        <is>
          <t>Protocolo</t>
        </is>
      </c>
    </row>
    <row r="1537">
      <c r="A1537" s="40" t="inlineStr">
        <is>
          <t>5012278-51.2019.4.04.7204</t>
        </is>
      </c>
      <c r="B1537" s="40" t="inlineStr">
        <is>
          <t>Outras</t>
        </is>
      </c>
      <c r="D1537" s="67" t="inlineStr">
        <is>
          <t>Renata Francisco Becker</t>
        </is>
      </c>
      <c r="E1537" s="62" t="n">
        <v>44792</v>
      </c>
      <c r="F1537" s="67" t="inlineStr">
        <is>
          <t>Juízo Substituto da 4ª VF de Criciúma</t>
        </is>
      </c>
      <c r="I1537" s="67" t="inlineStr"/>
      <c r="J1537" s="67" t="inlineStr">
        <is>
          <t>Tarefa</t>
        </is>
      </c>
      <c r="K1537" s="62" t="n">
        <v>46079</v>
      </c>
      <c r="L1537" s="67" t="inlineStr">
        <is>
          <t xml:space="preserve">Lucas </t>
        </is>
      </c>
      <c r="M1537" s="40" t="inlineStr">
        <is>
          <t>Cumprido</t>
        </is>
      </c>
      <c r="N1537" s="62" t="n">
        <v>46079</v>
      </c>
      <c r="O1537" s="67" t="inlineStr">
        <is>
          <t>Protocolo</t>
        </is>
      </c>
    </row>
    <row r="1538">
      <c r="A1538" s="40" t="inlineStr">
        <is>
          <t>0000476-09.2023.5.12.0055</t>
        </is>
      </c>
      <c r="B1538" s="40" t="inlineStr">
        <is>
          <t>Outras</t>
        </is>
      </c>
      <c r="D1538" s="67" t="inlineStr">
        <is>
          <t>Pedro Victor</t>
        </is>
      </c>
      <c r="E1538" s="62" t="n">
        <v>45050</v>
      </c>
      <c r="F1538" s="67" t="inlineStr"/>
      <c r="I1538" s="67" t="inlineStr">
        <is>
          <t>5028410-06.2025.8.24.0020</t>
        </is>
      </c>
      <c r="J1538" s="67" t="inlineStr">
        <is>
          <t>Tarefa</t>
        </is>
      </c>
      <c r="K1538" s="62" t="n">
        <v>46079</v>
      </c>
      <c r="L1538" s="67" t="inlineStr">
        <is>
          <t>Pedro Victor</t>
        </is>
      </c>
      <c r="M1538" s="40" t="inlineStr">
        <is>
          <t>Cumprido</t>
        </is>
      </c>
      <c r="N1538" s="62" t="n">
        <v>46079</v>
      </c>
      <c r="O1538" s="67" t="inlineStr">
        <is>
          <t>Revisão</t>
        </is>
      </c>
    </row>
    <row r="1539">
      <c r="A1539" s="40" t="inlineStr">
        <is>
          <t>0310433-57.2018.8.24.0020</t>
        </is>
      </c>
      <c r="B1539" s="40" t="inlineStr">
        <is>
          <t>Outras</t>
        </is>
      </c>
      <c r="D1539" s="67" t="inlineStr">
        <is>
          <t>Renata Francisco Becker</t>
        </is>
      </c>
      <c r="E1539" s="62" t="n">
        <v>45201</v>
      </c>
      <c r="F1539" s="67" t="inlineStr"/>
      <c r="I1539" s="67" t="inlineStr">
        <is>
          <t>50186697320248240020</t>
        </is>
      </c>
      <c r="J1539" s="67" t="inlineStr">
        <is>
          <t>Tarefa</t>
        </is>
      </c>
      <c r="K1539" s="62" t="n">
        <v>46079</v>
      </c>
      <c r="L1539" s="67" t="inlineStr">
        <is>
          <t>Pedro Victor</t>
        </is>
      </c>
      <c r="M1539" s="40" t="inlineStr">
        <is>
          <t>Cumprido</t>
        </is>
      </c>
      <c r="N1539" s="62" t="n">
        <v>46079</v>
      </c>
      <c r="O1539" s="67" t="inlineStr">
        <is>
          <t>Revisão</t>
        </is>
      </c>
    </row>
    <row r="1540">
      <c r="A1540" s="40" t="inlineStr">
        <is>
          <t>50272383420228240020</t>
        </is>
      </c>
      <c r="B1540" s="40" t="inlineStr">
        <is>
          <t>Outras</t>
        </is>
      </c>
      <c r="D1540" s="67" t="inlineStr">
        <is>
          <t>Pedro Victor</t>
        </is>
      </c>
      <c r="E1540" s="62" t="n">
        <v>45167</v>
      </c>
      <c r="F1540" s="67" t="inlineStr">
        <is>
          <t>Juízo da Juizado Esp. Criminal e de Viol. Doméstica e Fam. contra a Mulher da Comarca de Criciúma</t>
        </is>
      </c>
      <c r="I1540" s="67" t="inlineStr">
        <is>
          <t>0001610-62.2025.5.12.0003</t>
        </is>
      </c>
      <c r="J1540" s="67" t="inlineStr">
        <is>
          <t>Tarefa</t>
        </is>
      </c>
      <c r="K1540" s="62" t="n">
        <v>46079</v>
      </c>
      <c r="L1540" s="67" t="inlineStr">
        <is>
          <t>Pedro Victor</t>
        </is>
      </c>
      <c r="M1540" s="40" t="inlineStr">
        <is>
          <t>Cumprido</t>
        </is>
      </c>
      <c r="N1540" s="62" t="n">
        <v>46079</v>
      </c>
      <c r="O1540" s="67" t="inlineStr">
        <is>
          <t>Revisão</t>
        </is>
      </c>
    </row>
    <row r="1541">
      <c r="A1541" s="40" t="inlineStr">
        <is>
          <t>5004190-87.2020.4.04.7204</t>
        </is>
      </c>
      <c r="B1541" s="40" t="inlineStr">
        <is>
          <t>Outras</t>
        </is>
      </c>
      <c r="D1541" s="67" t="inlineStr">
        <is>
          <t>Renata Francisco Becker</t>
        </is>
      </c>
      <c r="E1541" s="62" t="n">
        <v>44802</v>
      </c>
      <c r="F1541" s="67" t="inlineStr">
        <is>
          <t>Juízo Federal da 1ª VF de Tubarão</t>
        </is>
      </c>
      <c r="I1541" s="67" t="inlineStr"/>
      <c r="J1541" s="67" t="inlineStr">
        <is>
          <t>Tarefa</t>
        </is>
      </c>
      <c r="K1541" s="62" t="n">
        <v>46079</v>
      </c>
      <c r="L1541" s="67" t="inlineStr">
        <is>
          <t>Pedro Victor</t>
        </is>
      </c>
      <c r="M1541" s="40" t="inlineStr">
        <is>
          <t>Cumprido</t>
        </is>
      </c>
      <c r="N1541" s="62" t="n">
        <v>46079</v>
      </c>
      <c r="O1541" s="67" t="inlineStr">
        <is>
          <t>Revisão</t>
        </is>
      </c>
    </row>
    <row r="1542">
      <c r="A1542" s="40" t="inlineStr">
        <is>
          <t>0308781-05.2018.8.24.0020</t>
        </is>
      </c>
      <c r="B1542" s="40" t="inlineStr">
        <is>
          <t>Outras</t>
        </is>
      </c>
      <c r="D1542" s="67" t="inlineStr">
        <is>
          <t>Renata Francisco Becker</t>
        </is>
      </c>
      <c r="E1542" s="62" t="n">
        <v>44701</v>
      </c>
      <c r="F1542" s="67" t="inlineStr">
        <is>
          <t>Juizado Especial Civel</t>
        </is>
      </c>
      <c r="I1542" s="67" t="inlineStr">
        <is>
          <t>5000680-65.2026.8.24.0026</t>
        </is>
      </c>
      <c r="J1542" s="67" t="inlineStr">
        <is>
          <t>Tarefa</t>
        </is>
      </c>
      <c r="K1542" s="62" t="n">
        <v>46079</v>
      </c>
      <c r="L1542" s="67" t="inlineStr">
        <is>
          <t>Pedro Victor</t>
        </is>
      </c>
      <c r="M1542" s="40" t="inlineStr">
        <is>
          <t>Cumprido</t>
        </is>
      </c>
      <c r="N1542" s="62" t="n">
        <v>46079</v>
      </c>
      <c r="O1542" s="67" t="inlineStr">
        <is>
          <t>Revisão</t>
        </is>
      </c>
    </row>
    <row r="1543">
      <c r="A1543" s="40" t="inlineStr">
        <is>
          <t>5004389-39.2020.8.24.0020</t>
        </is>
      </c>
      <c r="B1543" s="40" t="inlineStr">
        <is>
          <t>Outras</t>
        </is>
      </c>
      <c r="D1543" s="67" t="inlineStr">
        <is>
          <t>Renata Francisco Becker</t>
        </is>
      </c>
      <c r="E1543" s="62" t="n">
        <v>44701</v>
      </c>
      <c r="F1543" s="67" t="inlineStr">
        <is>
          <t>Juizo Da 4ª Vara Civel Da Comarca De Criciuma</t>
        </is>
      </c>
      <c r="I1543" s="67" t="inlineStr">
        <is>
          <t>5006478-59.2025.8.24.0020</t>
        </is>
      </c>
      <c r="J1543" s="67" t="inlineStr">
        <is>
          <t>Tarefa</t>
        </is>
      </c>
      <c r="K1543" s="62" t="n">
        <v>46079</v>
      </c>
      <c r="L1543" s="67" t="inlineStr">
        <is>
          <t>Pedro Victor</t>
        </is>
      </c>
      <c r="M1543" s="40" t="inlineStr">
        <is>
          <t>Cumprido</t>
        </is>
      </c>
      <c r="N1543" s="62" t="n">
        <v>46079</v>
      </c>
      <c r="O1543" s="67" t="inlineStr">
        <is>
          <t>Revisão - Julia</t>
        </is>
      </c>
    </row>
    <row r="1544">
      <c r="A1544" s="40" t="inlineStr">
        <is>
          <t>0000476-09.2023.5.12.0055</t>
        </is>
      </c>
      <c r="B1544" s="40" t="inlineStr">
        <is>
          <t>Outras</t>
        </is>
      </c>
      <c r="D1544" s="67" t="inlineStr">
        <is>
          <t>Renata Francisco Becker</t>
        </is>
      </c>
      <c r="E1544" s="62" t="n">
        <v>45111</v>
      </c>
      <c r="F1544" s="67" t="inlineStr"/>
      <c r="I1544" s="67" t="inlineStr"/>
      <c r="J1544" s="67" t="inlineStr">
        <is>
          <t>Tarefa</t>
        </is>
      </c>
      <c r="K1544" s="62" t="n">
        <v>46079</v>
      </c>
      <c r="L1544" s="67" t="inlineStr">
        <is>
          <t>Renata Francisco Becker</t>
        </is>
      </c>
      <c r="M1544" s="40" t="inlineStr">
        <is>
          <t>Cumprido</t>
        </is>
      </c>
      <c r="N1544" s="62" t="n">
        <v>46079</v>
      </c>
      <c r="O1544" s="67" t="inlineStr">
        <is>
          <t>Revisão - Julia</t>
        </is>
      </c>
    </row>
    <row r="1545">
      <c r="A1545" s="40" t="inlineStr">
        <is>
          <t>5042119-42.2023.8.24.0000</t>
        </is>
      </c>
      <c r="B1545" s="40" t="inlineStr">
        <is>
          <t>Outras</t>
        </is>
      </c>
      <c r="D1545" s="67" t="inlineStr">
        <is>
          <t>Renata Francisco Becker</t>
        </is>
      </c>
      <c r="E1545" s="62" t="n">
        <v>45127</v>
      </c>
      <c r="F1545" s="67" t="inlineStr"/>
      <c r="I1545" s="67" t="inlineStr"/>
      <c r="J1545" s="67" t="inlineStr">
        <is>
          <t>Evento</t>
        </is>
      </c>
      <c r="K1545" s="62" t="n">
        <v>46079</v>
      </c>
      <c r="L1545" s="67" t="inlineStr">
        <is>
          <t>Pedro Victor</t>
        </is>
      </c>
      <c r="M1545" s="40" t="inlineStr">
        <is>
          <t>Cumprido</t>
        </is>
      </c>
      <c r="N1545" s="62" t="n">
        <v>46079</v>
      </c>
      <c r="O1545" s="67" t="inlineStr">
        <is>
          <t>Reunião Papa Jhon</t>
        </is>
      </c>
    </row>
    <row r="1546">
      <c r="A1546" s="40" t="n"/>
      <c r="B1546" s="40" t="inlineStr">
        <is>
          <t>Outras</t>
        </is>
      </c>
      <c r="D1546" s="67" t="inlineStr">
        <is>
          <t>Pedro Victor</t>
        </is>
      </c>
      <c r="E1546" s="62" t="n">
        <v>45167</v>
      </c>
      <c r="I1546" s="67" t="inlineStr"/>
      <c r="J1546" s="67" t="inlineStr">
        <is>
          <t>Evento</t>
        </is>
      </c>
      <c r="K1546" s="62" t="n">
        <v>46079</v>
      </c>
      <c r="L1546" s="67" t="inlineStr">
        <is>
          <t>Pedro Victor</t>
        </is>
      </c>
      <c r="M1546" s="40" t="inlineStr">
        <is>
          <t>Cumprido</t>
        </is>
      </c>
      <c r="N1546" s="62" t="n">
        <v>46079</v>
      </c>
      <c r="O1546" s="67" t="inlineStr">
        <is>
          <t>Reunião Tec Power</t>
        </is>
      </c>
    </row>
    <row r="1547">
      <c r="A1547" s="40" t="inlineStr">
        <is>
          <t>14152.081921/2023-31</t>
        </is>
      </c>
      <c r="B1547" s="40" t="inlineStr">
        <is>
          <t>Outras</t>
        </is>
      </c>
      <c r="D1547" s="67" t="inlineStr">
        <is>
          <t>Pedro Victor</t>
        </is>
      </c>
      <c r="E1547" s="62" t="n">
        <v>45099</v>
      </c>
      <c r="F1547" s="67" t="inlineStr"/>
      <c r="I1547" s="67" t="inlineStr"/>
      <c r="J1547" s="67" t="inlineStr">
        <is>
          <t>Evento</t>
        </is>
      </c>
      <c r="K1547" s="62" t="n">
        <v>46079</v>
      </c>
      <c r="L1547" s="67" t="inlineStr">
        <is>
          <t>Julia</t>
        </is>
      </c>
      <c r="M1547" s="40" t="inlineStr">
        <is>
          <t>Cumprido</t>
        </is>
      </c>
      <c r="N1547" s="62" t="n">
        <v>46079</v>
      </c>
      <c r="O1547" s="67" t="inlineStr">
        <is>
          <t xml:space="preserve">Reunião Colombo Retroterra (proc de cobrança) </t>
        </is>
      </c>
    </row>
    <row r="1548">
      <c r="A1548" s="40" t="n"/>
      <c r="B1548" s="40" t="inlineStr">
        <is>
          <t>Outras</t>
        </is>
      </c>
      <c r="D1548" s="67" t="inlineStr">
        <is>
          <t>Pedro Victor</t>
        </is>
      </c>
      <c r="E1548" s="62" t="n">
        <v>45183</v>
      </c>
      <c r="I1548" s="67" t="inlineStr"/>
      <c r="J1548" s="67" t="inlineStr">
        <is>
          <t>Prazo</t>
        </is>
      </c>
      <c r="K1548" s="62" t="n">
        <v>46080</v>
      </c>
      <c r="L1548" s="67" t="inlineStr">
        <is>
          <t>Julia</t>
        </is>
      </c>
      <c r="M1548" s="40" t="inlineStr">
        <is>
          <t>Cumprido</t>
        </is>
      </c>
      <c r="N1548" s="62" t="n">
        <v>46080</v>
      </c>
      <c r="O1548" s="67" t="inlineStr">
        <is>
          <t>Analisar</t>
        </is>
      </c>
    </row>
    <row r="1549">
      <c r="A1549" s="40" t="n"/>
      <c r="B1549" s="40" t="inlineStr">
        <is>
          <t>Outras</t>
        </is>
      </c>
      <c r="D1549" s="67" t="inlineStr">
        <is>
          <t>Pedro Victor</t>
        </is>
      </c>
      <c r="E1549" s="62" t="n">
        <v>45183</v>
      </c>
      <c r="I1549" s="67" t="inlineStr">
        <is>
          <t>5012213-49.2020.8.24.0020</t>
        </is>
      </c>
      <c r="J1549" s="67" t="inlineStr">
        <is>
          <t>Prazo</t>
        </is>
      </c>
      <c r="K1549" s="62" t="n">
        <v>46080</v>
      </c>
      <c r="L1549" s="67" t="inlineStr">
        <is>
          <t xml:space="preserve">Alexia </t>
        </is>
      </c>
      <c r="M1549" s="40" t="inlineStr">
        <is>
          <t>Cumprido</t>
        </is>
      </c>
      <c r="N1549" s="62" t="n">
        <v>46080</v>
      </c>
      <c r="O1549" s="67" t="inlineStr">
        <is>
          <t>Analise de Folha de Pagamento Denise Alano</t>
        </is>
      </c>
    </row>
    <row r="1550">
      <c r="A1550" s="40" t="inlineStr">
        <is>
          <t>5002932-98.2022.8.24.0020</t>
        </is>
      </c>
      <c r="B1550" s="40" t="inlineStr">
        <is>
          <t>Outras</t>
        </is>
      </c>
      <c r="D1550" s="67" t="inlineStr">
        <is>
          <t>Renata Francisco Becker</t>
        </is>
      </c>
      <c r="E1550" s="62" t="n">
        <v>44701</v>
      </c>
      <c r="F1550" s="67" t="inlineStr">
        <is>
          <t>Juizo Da 1ª Vara Da Fazenda Publica Da Comarca De Criciuma</t>
        </is>
      </c>
      <c r="I1550" s="67" t="inlineStr"/>
      <c r="J1550" s="67" t="inlineStr">
        <is>
          <t>Prazo</t>
        </is>
      </c>
      <c r="K1550" s="62" t="n">
        <v>46080</v>
      </c>
      <c r="L1550" s="67" t="inlineStr">
        <is>
          <t xml:space="preserve">Lucas </t>
        </is>
      </c>
      <c r="M1550" s="40" t="inlineStr">
        <is>
          <t>Cumprido</t>
        </is>
      </c>
      <c r="N1550" s="62" t="n">
        <v>46080</v>
      </c>
      <c r="O1550" s="67" t="inlineStr">
        <is>
          <t>Elaborar advertencia por dissida no trabalho (Ex Veneza)</t>
        </is>
      </c>
    </row>
    <row r="1551">
      <c r="A1551" s="40" t="inlineStr">
        <is>
          <t>5003005-62.2023.8.24.0076</t>
        </is>
      </c>
      <c r="B1551" s="40" t="inlineStr">
        <is>
          <t>Outras</t>
        </is>
      </c>
      <c r="D1551" s="67" t="inlineStr">
        <is>
          <t>Renata Francisco Becker</t>
        </is>
      </c>
      <c r="E1551" s="62" t="n">
        <v>45173</v>
      </c>
      <c r="F1551" s="67" t="inlineStr">
        <is>
          <t>Juízo da Vara Única da Comarca de Turvo</t>
        </is>
      </c>
      <c r="I1551" s="67" t="inlineStr"/>
      <c r="J1551" s="67" t="inlineStr">
        <is>
          <t>Prazo</t>
        </is>
      </c>
      <c r="K1551" s="62" t="n">
        <v>46080</v>
      </c>
      <c r="L1551" s="67" t="inlineStr">
        <is>
          <t xml:space="preserve">Lucas </t>
        </is>
      </c>
      <c r="M1551" s="40" t="inlineStr">
        <is>
          <t>Cumprido</t>
        </is>
      </c>
      <c r="N1551" s="62" t="n">
        <v>46080</v>
      </c>
      <c r="O1551" s="67" t="inlineStr">
        <is>
          <t>Notificação - Perfis irregulares</t>
        </is>
      </c>
    </row>
    <row r="1552">
      <c r="A1552" s="40" t="inlineStr">
        <is>
          <t>50210947020238240000</t>
        </is>
      </c>
      <c r="B1552" s="40" t="inlineStr">
        <is>
          <t>Outras</t>
        </is>
      </c>
      <c r="D1552" s="67" t="inlineStr">
        <is>
          <t>Renata Francisco Becker</t>
        </is>
      </c>
      <c r="E1552" s="62" t="n">
        <v>45126</v>
      </c>
      <c r="F1552" s="67" t="inlineStr"/>
      <c r="I1552" s="67" t="inlineStr">
        <is>
          <t>0010142-48.2025.5.15.0033</t>
        </is>
      </c>
      <c r="J1552" s="67" t="inlineStr">
        <is>
          <t>Prazo</t>
        </is>
      </c>
      <c r="K1552" s="62" t="n">
        <v>46080</v>
      </c>
      <c r="L1552" s="67" t="inlineStr">
        <is>
          <t>Luci</t>
        </is>
      </c>
      <c r="M1552" s="40" t="inlineStr">
        <is>
          <t>Cumprido</t>
        </is>
      </c>
      <c r="N1552" s="62" t="n">
        <v>46080</v>
      </c>
      <c r="O1552" s="67" t="inlineStr">
        <is>
          <t>Prazo</t>
        </is>
      </c>
    </row>
    <row r="1553">
      <c r="A1553" s="40" t="inlineStr">
        <is>
          <t>5072383-70.2023.8.24.0023</t>
        </is>
      </c>
      <c r="B1553" s="40" t="inlineStr">
        <is>
          <t>Outras</t>
        </is>
      </c>
      <c r="D1553" s="67" t="inlineStr">
        <is>
          <t>Renata Francisco Becker</t>
        </is>
      </c>
      <c r="E1553" s="62" t="n">
        <v>45145</v>
      </c>
      <c r="F1553" s="67" t="inlineStr">
        <is>
          <t>Juízo da Vara de Direito Militar da Comarca da Capital - Eduardo Luz</t>
        </is>
      </c>
      <c r="I1553" s="67" t="inlineStr">
        <is>
          <t>0000459-98.2025.5.12.0023</t>
        </is>
      </c>
      <c r="J1553" s="67" t="inlineStr">
        <is>
          <t>Prazo</t>
        </is>
      </c>
      <c r="K1553" s="62" t="n">
        <v>46080</v>
      </c>
      <c r="L1553" s="67" t="inlineStr">
        <is>
          <t>Luci</t>
        </is>
      </c>
      <c r="M1553" s="40" t="inlineStr">
        <is>
          <t>Cumprido</t>
        </is>
      </c>
      <c r="N1553" s="62" t="n">
        <v>46080</v>
      </c>
      <c r="O1553" s="67" t="inlineStr">
        <is>
          <t>Prazo</t>
        </is>
      </c>
    </row>
    <row r="1554">
      <c r="A1554" s="40" t="inlineStr">
        <is>
          <t>0302483-60.2019.8.24.0020</t>
        </is>
      </c>
      <c r="B1554" s="40" t="inlineStr">
        <is>
          <t>Outras</t>
        </is>
      </c>
      <c r="D1554" s="67" t="inlineStr">
        <is>
          <t>Renata Francisco Becker</t>
        </is>
      </c>
      <c r="E1554" s="62" t="n">
        <v>44701</v>
      </c>
      <c r="F1554" s="67" t="inlineStr">
        <is>
          <t>Juizado Especial Civel</t>
        </is>
      </c>
      <c r="I1554" s="67" t="inlineStr">
        <is>
          <t>4026378-08.2026.8.26.0100</t>
        </is>
      </c>
      <c r="J1554" s="67" t="inlineStr">
        <is>
          <t>Prazo</t>
        </is>
      </c>
      <c r="K1554" s="62" t="n">
        <v>46080</v>
      </c>
      <c r="L1554" s="67" t="inlineStr">
        <is>
          <t>Jessica</t>
        </is>
      </c>
      <c r="M1554" s="40" t="inlineStr">
        <is>
          <t>Cumprido</t>
        </is>
      </c>
      <c r="N1554" s="62" t="n">
        <v>46080</v>
      </c>
      <c r="O1554" s="67" t="inlineStr">
        <is>
          <t>Prazo</t>
        </is>
      </c>
    </row>
    <row r="1555">
      <c r="A1555" s="40" t="inlineStr">
        <is>
          <t>50035046420218240028</t>
        </is>
      </c>
      <c r="B1555" s="40" t="inlineStr">
        <is>
          <t>Outras</t>
        </is>
      </c>
      <c r="D1555" s="67" t="inlineStr">
        <is>
          <t>Renata Francisco Becker</t>
        </is>
      </c>
      <c r="E1555" s="62" t="n">
        <v>45155</v>
      </c>
      <c r="F1555" s="67" t="inlineStr"/>
      <c r="I1555" s="67" t="inlineStr">
        <is>
          <t>5018665-36.2024.8.24.0020</t>
        </is>
      </c>
      <c r="J1555" s="67" t="inlineStr">
        <is>
          <t>Prazo</t>
        </is>
      </c>
      <c r="K1555" s="62" t="n">
        <v>46080</v>
      </c>
      <c r="L1555" s="67" t="inlineStr">
        <is>
          <t>Pedro Victor</t>
        </is>
      </c>
      <c r="M1555" s="40" t="inlineStr">
        <is>
          <t>Cumprido</t>
        </is>
      </c>
      <c r="N1555" s="62" t="n">
        <v>46080</v>
      </c>
      <c r="O1555" s="67" t="inlineStr">
        <is>
          <t>Prazo</t>
        </is>
      </c>
    </row>
    <row r="1556">
      <c r="A1556" s="40" t="inlineStr">
        <is>
          <t>0045138-66.2023.8.16.0000</t>
        </is>
      </c>
      <c r="B1556" s="40" t="inlineStr">
        <is>
          <t>Outras</t>
        </is>
      </c>
      <c r="D1556" s="67" t="inlineStr">
        <is>
          <t>Renata Francisco Becker</t>
        </is>
      </c>
      <c r="E1556" s="62" t="n">
        <v>45127</v>
      </c>
      <c r="I1556" s="67" t="inlineStr">
        <is>
          <t>0000558-02.2023.5.12.0003</t>
        </is>
      </c>
      <c r="J1556" s="67" t="inlineStr">
        <is>
          <t>Prazo</t>
        </is>
      </c>
      <c r="K1556" s="62" t="n">
        <v>46080</v>
      </c>
      <c r="L1556" s="67" t="inlineStr">
        <is>
          <t>Luci</t>
        </is>
      </c>
      <c r="M1556" s="40" t="inlineStr">
        <is>
          <t>Cumprido</t>
        </is>
      </c>
      <c r="N1556" s="62" t="n">
        <v>46080</v>
      </c>
      <c r="O1556" s="67" t="inlineStr">
        <is>
          <t xml:space="preserve">Prazo </t>
        </is>
      </c>
    </row>
    <row r="1557">
      <c r="A1557" s="40" t="inlineStr">
        <is>
          <t>5000138-85.2019.8.24.0028</t>
        </is>
      </c>
      <c r="B1557" s="40" t="inlineStr">
        <is>
          <t>Outras</t>
        </is>
      </c>
      <c r="D1557" s="67" t="inlineStr">
        <is>
          <t>Renata Francisco Becker</t>
        </is>
      </c>
      <c r="E1557" s="62" t="n">
        <v>44701</v>
      </c>
      <c r="F1557" s="67" t="inlineStr">
        <is>
          <t>Juizo Da 1ª Vara Da Comarca De Icara</t>
        </is>
      </c>
      <c r="I1557" s="67" t="inlineStr">
        <is>
          <t>5008160-56.2024.4.04.7204</t>
        </is>
      </c>
      <c r="J1557" s="67" t="inlineStr">
        <is>
          <t>Prazo</t>
        </is>
      </c>
      <c r="K1557" s="62" t="n">
        <v>46080</v>
      </c>
      <c r="L1557" s="67" t="inlineStr">
        <is>
          <t>Julia</t>
        </is>
      </c>
      <c r="M1557" s="40" t="inlineStr">
        <is>
          <t>Cumprido</t>
        </is>
      </c>
      <c r="N1557" s="62" t="n">
        <v>46080</v>
      </c>
      <c r="O1557" s="67" t="inlineStr">
        <is>
          <t>Prazo (AR) ACOMPANHAR</t>
        </is>
      </c>
    </row>
    <row r="1558">
      <c r="A1558" s="40" t="inlineStr">
        <is>
          <t>5045817-90.2022.8.24.0000</t>
        </is>
      </c>
      <c r="B1558" s="40" t="inlineStr">
        <is>
          <t>Outras</t>
        </is>
      </c>
      <c r="D1558" s="67" t="inlineStr">
        <is>
          <t>Renata Francisco Becker</t>
        </is>
      </c>
      <c r="E1558" s="62" t="n">
        <v>44879</v>
      </c>
      <c r="F1558" s="67" t="inlineStr"/>
      <c r="I1558" s="67" t="inlineStr"/>
      <c r="J1558" s="67" t="inlineStr">
        <is>
          <t>Prazo</t>
        </is>
      </c>
      <c r="K1558" s="62" t="n">
        <v>46080</v>
      </c>
      <c r="L1558" s="67" t="inlineStr">
        <is>
          <t>Luci</t>
        </is>
      </c>
      <c r="M1558" s="40" t="inlineStr">
        <is>
          <t>Cumprido</t>
        </is>
      </c>
      <c r="N1558" s="62" t="n">
        <v>46080</v>
      </c>
      <c r="O1558" s="67" t="inlineStr">
        <is>
          <t>Reclamatoria Trabalhista Karoline Cristina Freire da Costa</t>
        </is>
      </c>
    </row>
    <row r="1559">
      <c r="A1559" s="40" t="inlineStr">
        <is>
          <t>5012173-74.2019.4.04.7204</t>
        </is>
      </c>
      <c r="B1559" s="40" t="inlineStr">
        <is>
          <t>Outras</t>
        </is>
      </c>
      <c r="D1559" s="67" t="inlineStr">
        <is>
          <t>Renata Francisco Becker</t>
        </is>
      </c>
      <c r="E1559" s="62" t="n">
        <v>44942</v>
      </c>
      <c r="F1559" s="67" t="inlineStr">
        <is>
          <t>Juízo Federal da 4ª VF de Criciúma</t>
        </is>
      </c>
      <c r="I1559" s="67" t="inlineStr">
        <is>
          <t>0000362-65.2026.5.12.0055</t>
        </is>
      </c>
      <c r="J1559" s="67" t="inlineStr">
        <is>
          <t>Prazo</t>
        </is>
      </c>
      <c r="K1559" s="62" t="n">
        <v>46080</v>
      </c>
      <c r="L1559" s="67" t="inlineStr">
        <is>
          <t>Luci</t>
        </is>
      </c>
      <c r="M1559" s="40" t="inlineStr">
        <is>
          <t>Cumprido</t>
        </is>
      </c>
      <c r="N1559" s="62" t="n">
        <v>46080</v>
      </c>
      <c r="O1559" s="67" t="inlineStr">
        <is>
          <t>Reclamatória Trabalhista</t>
        </is>
      </c>
    </row>
    <row r="1560">
      <c r="A1560" s="40" t="inlineStr">
        <is>
          <t>5000151-66.2021.8.24.0076</t>
        </is>
      </c>
      <c r="B1560" s="40" t="inlineStr">
        <is>
          <t>Outras</t>
        </is>
      </c>
      <c r="D1560" s="67" t="inlineStr">
        <is>
          <t>Renata Francisco Becker</t>
        </is>
      </c>
      <c r="E1560" s="62" t="n">
        <v>45166</v>
      </c>
      <c r="F1560" s="67" t="inlineStr"/>
      <c r="I1560" s="67" t="inlineStr">
        <is>
          <t>5011355-42.2025.8.24.0020</t>
        </is>
      </c>
      <c r="J1560" s="67" t="inlineStr">
        <is>
          <t>Prazo</t>
        </is>
      </c>
      <c r="K1560" s="62" t="n">
        <v>46080</v>
      </c>
      <c r="L1560" s="67" t="inlineStr">
        <is>
          <t>Pedro Victor</t>
        </is>
      </c>
      <c r="M1560" s="40" t="inlineStr">
        <is>
          <t>Cumprido</t>
        </is>
      </c>
      <c r="N1560" s="62" t="n">
        <v>46080</v>
      </c>
      <c r="O1560" s="67" t="inlineStr">
        <is>
          <t>Tratativa de acordo</t>
        </is>
      </c>
    </row>
    <row r="1561">
      <c r="A1561" s="40" t="n"/>
      <c r="B1561" s="40" t="inlineStr">
        <is>
          <t>Outras</t>
        </is>
      </c>
      <c r="D1561" s="67" t="inlineStr">
        <is>
          <t>Pedro Victor</t>
        </is>
      </c>
      <c r="E1561" s="62" t="n">
        <v>45167</v>
      </c>
      <c r="I1561" s="67" t="inlineStr"/>
      <c r="J1561" s="67" t="inlineStr">
        <is>
          <t>Tarefa</t>
        </is>
      </c>
      <c r="K1561" s="62" t="n">
        <v>46080</v>
      </c>
      <c r="L1561" s="67" t="inlineStr">
        <is>
          <t xml:space="preserve">Lucas </t>
        </is>
      </c>
      <c r="M1561" s="40" t="inlineStr">
        <is>
          <t>Cumprido</t>
        </is>
      </c>
      <c r="N1561" s="62" t="n">
        <v>46080</v>
      </c>
      <c r="O1561" s="67" t="inlineStr">
        <is>
          <t>27/02/2026 - CONFERIR ATIVIDADES MONITORADAS</t>
        </is>
      </c>
    </row>
    <row r="1562">
      <c r="A1562" s="40" t="inlineStr">
        <is>
          <t>5013761-19.2019.4.04.7204</t>
        </is>
      </c>
      <c r="B1562" s="40" t="inlineStr">
        <is>
          <t>Outras</t>
        </is>
      </c>
      <c r="D1562" s="67" t="inlineStr">
        <is>
          <t>Renata Francisco Becker</t>
        </is>
      </c>
      <c r="E1562" s="62" t="n">
        <v>44802</v>
      </c>
      <c r="F1562" s="67" t="inlineStr">
        <is>
          <t>Juízo Substituto da 1ª VF de Tubarão</t>
        </is>
      </c>
      <c r="I1562" s="67" t="inlineStr"/>
      <c r="J1562" s="67" t="inlineStr">
        <is>
          <t>Tarefa</t>
        </is>
      </c>
      <c r="K1562" s="62" t="n">
        <v>46080</v>
      </c>
      <c r="L1562" s="67" t="inlineStr">
        <is>
          <t xml:space="preserve">Lucas </t>
        </is>
      </c>
      <c r="M1562" s="40" t="inlineStr">
        <is>
          <t>Cumprido</t>
        </is>
      </c>
      <c r="N1562" s="62" t="n">
        <v>46080</v>
      </c>
      <c r="O1562" s="67" t="inlineStr">
        <is>
          <t>Finalização</t>
        </is>
      </c>
    </row>
    <row r="1563">
      <c r="A1563" s="40" t="inlineStr">
        <is>
          <t>0000453-25.2023.5.12.0003</t>
        </is>
      </c>
      <c r="B1563" s="40" t="inlineStr">
        <is>
          <t>Outras</t>
        </is>
      </c>
      <c r="D1563" s="67" t="inlineStr">
        <is>
          <t>Pedro Victor</t>
        </is>
      </c>
      <c r="E1563" s="62" t="n">
        <v>45016</v>
      </c>
      <c r="F1563" s="67" t="inlineStr"/>
      <c r="I1563" s="67" t="inlineStr">
        <is>
          <t>0001269-74.2025.5.12.0055</t>
        </is>
      </c>
      <c r="J1563" s="67" t="inlineStr">
        <is>
          <t>Tarefa</t>
        </is>
      </c>
      <c r="K1563" s="62" t="n">
        <v>46080</v>
      </c>
      <c r="L1563" s="67" t="inlineStr">
        <is>
          <t>Luci</t>
        </is>
      </c>
      <c r="M1563" s="40" t="inlineStr">
        <is>
          <t>Cumprido</t>
        </is>
      </c>
      <c r="N1563" s="62" t="n">
        <v>46080</v>
      </c>
      <c r="O1563" s="67" t="inlineStr">
        <is>
          <t>Protocolo</t>
        </is>
      </c>
    </row>
    <row r="1564">
      <c r="A1564" s="40" t="inlineStr">
        <is>
          <t>5005306-10.2022.8.24.0078</t>
        </is>
      </c>
      <c r="B1564" s="40" t="inlineStr">
        <is>
          <t>Outras</t>
        </is>
      </c>
      <c r="D1564" s="67" t="inlineStr">
        <is>
          <t>Renata Francisco Becker</t>
        </is>
      </c>
      <c r="E1564" s="62" t="n">
        <v>45145</v>
      </c>
      <c r="F1564" s="67" t="inlineStr"/>
      <c r="I1564" s="67" t="inlineStr"/>
      <c r="J1564" s="67" t="inlineStr">
        <is>
          <t>Tarefa</t>
        </is>
      </c>
      <c r="K1564" s="62" t="n">
        <v>46080</v>
      </c>
      <c r="L1564" s="67" t="inlineStr">
        <is>
          <t>Julia</t>
        </is>
      </c>
      <c r="M1564" s="40" t="inlineStr">
        <is>
          <t>Cumprido</t>
        </is>
      </c>
      <c r="N1564" s="62" t="n">
        <v>46080</v>
      </c>
      <c r="O1564" s="67" t="inlineStr">
        <is>
          <t>Protocolo</t>
        </is>
      </c>
    </row>
    <row r="1565">
      <c r="A1565" s="40" t="inlineStr">
        <is>
          <t>50042586920228240028</t>
        </is>
      </c>
      <c r="B1565" s="40" t="inlineStr">
        <is>
          <t>Outras</t>
        </is>
      </c>
      <c r="D1565" s="67" t="inlineStr">
        <is>
          <t>Renata Francisco Becker</t>
        </is>
      </c>
      <c r="E1565" s="62" t="n">
        <v>44991</v>
      </c>
      <c r="F1565" s="67" t="inlineStr"/>
      <c r="I1565" s="67" t="inlineStr">
        <is>
          <t>0010142-48.2025.5.15.0033</t>
        </is>
      </c>
      <c r="J1565" s="67" t="inlineStr">
        <is>
          <t>Tarefa</t>
        </is>
      </c>
      <c r="K1565" s="62" t="n">
        <v>46080</v>
      </c>
      <c r="L1565" s="67" t="inlineStr">
        <is>
          <t>Pedro Victor</t>
        </is>
      </c>
      <c r="M1565" s="40" t="inlineStr">
        <is>
          <t>Cumprido</t>
        </is>
      </c>
      <c r="N1565" s="62" t="n">
        <v>46080</v>
      </c>
      <c r="O1565" s="67" t="inlineStr">
        <is>
          <t>Revisão</t>
        </is>
      </c>
    </row>
    <row r="1566">
      <c r="A1566" s="40" t="inlineStr">
        <is>
          <t>5072726-72.2022.8.24.0000</t>
        </is>
      </c>
      <c r="B1566" s="40" t="inlineStr">
        <is>
          <t>Outras</t>
        </is>
      </c>
      <c r="D1566" s="67" t="inlineStr">
        <is>
          <t>Renata Francisco Becker</t>
        </is>
      </c>
      <c r="E1566" s="62" t="n">
        <v>44944</v>
      </c>
      <c r="F1566" s="67" t="inlineStr"/>
      <c r="I1566" s="67" t="inlineStr"/>
      <c r="J1566" s="67" t="inlineStr">
        <is>
          <t>Tarefa</t>
        </is>
      </c>
      <c r="K1566" s="62" t="n">
        <v>46080</v>
      </c>
      <c r="L1566" s="67" t="inlineStr">
        <is>
          <t>Pedro Victor</t>
        </is>
      </c>
      <c r="M1566" s="40" t="inlineStr">
        <is>
          <t>Cumprido</t>
        </is>
      </c>
      <c r="N1566" s="62" t="n">
        <v>46080</v>
      </c>
      <c r="O1566" s="67" t="inlineStr">
        <is>
          <t>Revisão</t>
        </is>
      </c>
    </row>
    <row r="1567">
      <c r="A1567" s="40" t="inlineStr">
        <is>
          <t>0005120-79.2015.5.12.0053</t>
        </is>
      </c>
      <c r="B1567" s="40" t="inlineStr">
        <is>
          <t>Outras</t>
        </is>
      </c>
      <c r="D1567" s="67" t="inlineStr">
        <is>
          <t>Renata Francisco Becker</t>
        </is>
      </c>
      <c r="E1567" s="62" t="n">
        <v>44774</v>
      </c>
      <c r="F1567" s="67" t="inlineStr"/>
      <c r="I1567" s="67" t="inlineStr">
        <is>
          <t>0001656-76.2025.5.12.0027</t>
        </is>
      </c>
      <c r="J1567" s="67" t="inlineStr">
        <is>
          <t>Tarefa</t>
        </is>
      </c>
      <c r="K1567" s="62" t="n">
        <v>46080</v>
      </c>
      <c r="L1567" s="67" t="inlineStr">
        <is>
          <t>Pedro Victor</t>
        </is>
      </c>
      <c r="M1567" s="40" t="inlineStr">
        <is>
          <t>Cumprido</t>
        </is>
      </c>
      <c r="N1567" s="62" t="n">
        <v>46080</v>
      </c>
      <c r="O1567" s="67" t="inlineStr">
        <is>
          <t>Revisão</t>
        </is>
      </c>
    </row>
    <row r="1568">
      <c r="A1568" s="40" t="inlineStr">
        <is>
          <t>5004213-33.2020.4.04.7204</t>
        </is>
      </c>
      <c r="B1568" s="40" t="inlineStr">
        <is>
          <t>Outras</t>
        </is>
      </c>
      <c r="D1568" s="67" t="inlineStr">
        <is>
          <t>Renata Francisco Becker</t>
        </is>
      </c>
      <c r="E1568" s="62" t="n">
        <v>44802</v>
      </c>
      <c r="F1568" s="67" t="inlineStr">
        <is>
          <t>Juízo Substituto da 1ª VF de Tubarão</t>
        </is>
      </c>
      <c r="I1568" s="67" t="inlineStr"/>
      <c r="J1568" s="67" t="inlineStr">
        <is>
          <t>Tarefa</t>
        </is>
      </c>
      <c r="K1568" s="62" t="n">
        <v>46080</v>
      </c>
      <c r="L1568" s="67" t="inlineStr">
        <is>
          <t>Julia</t>
        </is>
      </c>
      <c r="M1568" s="40" t="inlineStr">
        <is>
          <t>Cumprido</t>
        </is>
      </c>
      <c r="N1568" s="62" t="n">
        <v>46080</v>
      </c>
      <c r="O1568" s="67" t="inlineStr">
        <is>
          <t>Verificar demanda Expresso São Ludgero</t>
        </is>
      </c>
    </row>
    <row r="1569">
      <c r="A1569" s="40" t="inlineStr">
        <is>
          <t>5006836-59.2022.8.24.0010</t>
        </is>
      </c>
      <c r="B1569" s="40" t="inlineStr">
        <is>
          <t>Outras</t>
        </is>
      </c>
      <c r="D1569" s="67" t="inlineStr">
        <is>
          <t>Renata Francisco Becker</t>
        </is>
      </c>
      <c r="E1569" s="62" t="n">
        <v>44959</v>
      </c>
      <c r="F1569" s="67" t="inlineStr"/>
      <c r="I1569" s="67" t="inlineStr"/>
      <c r="J1569" s="67" t="inlineStr">
        <is>
          <t>Tarefa</t>
        </is>
      </c>
      <c r="K1569" s="62" t="n">
        <v>46080</v>
      </c>
      <c r="L1569" s="67" t="inlineStr">
        <is>
          <t>Marelize Controladoria</t>
        </is>
      </c>
      <c r="M1569" s="40" t="inlineStr">
        <is>
          <t>Cumprido</t>
        </is>
      </c>
      <c r="N1569" s="62" t="n">
        <v>46080</v>
      </c>
      <c r="O1569" s="67" t="inlineStr">
        <is>
          <t>27/02/2026 - Conferir prazos no TJs - TJSC - TJRS - TRT12 - TRF4 - JFSC - TJRJ - TJPR - TJPA - TJSP - TJGO;</t>
        </is>
      </c>
    </row>
    <row r="1570">
      <c r="A1570" s="40" t="inlineStr">
        <is>
          <t>5012570-24.2023.8.24.0020</t>
        </is>
      </c>
      <c r="B1570" s="40" t="inlineStr">
        <is>
          <t>Outras</t>
        </is>
      </c>
      <c r="D1570" s="67" t="inlineStr">
        <is>
          <t>Renata Francisco Becker</t>
        </is>
      </c>
      <c r="E1570" s="62" t="n">
        <v>45098</v>
      </c>
      <c r="F1570" s="67" t="inlineStr"/>
      <c r="I1570" s="67" t="inlineStr"/>
      <c r="J1570" s="67" t="inlineStr">
        <is>
          <t>Tarefa</t>
        </is>
      </c>
      <c r="K1570" s="62" t="n">
        <v>46080</v>
      </c>
      <c r="L1570" s="67" t="inlineStr">
        <is>
          <t>Marelize Controladoria</t>
        </is>
      </c>
      <c r="M1570" s="40" t="inlineStr">
        <is>
          <t>Cumprido</t>
        </is>
      </c>
      <c r="N1570" s="62" t="n">
        <v>46080</v>
      </c>
      <c r="O1570" s="67" t="inlineStr">
        <is>
          <t>27/02/2026 - Fazer Agendas.</t>
        </is>
      </c>
    </row>
    <row r="1571">
      <c r="A1571" s="40" t="inlineStr">
        <is>
          <t>5001305-43.2022.8.21.0117</t>
        </is>
      </c>
      <c r="B1571" s="40" t="inlineStr">
        <is>
          <t>Outras</t>
        </is>
      </c>
      <c r="D1571" s="67" t="inlineStr">
        <is>
          <t>Renata Francisco Becker</t>
        </is>
      </c>
      <c r="E1571" s="62" t="n">
        <v>44956</v>
      </c>
      <c r="I1571" s="67" t="inlineStr"/>
      <c r="J1571" s="67" t="inlineStr">
        <is>
          <t>Tarefa</t>
        </is>
      </c>
      <c r="K1571" s="62" t="n">
        <v>46080</v>
      </c>
      <c r="L1571" s="67" t="inlineStr">
        <is>
          <t>Marelize Controladoria</t>
        </is>
      </c>
      <c r="M1571" s="40" t="inlineStr">
        <is>
          <t>Cumprido</t>
        </is>
      </c>
      <c r="N1571" s="62" t="n">
        <v>46080</v>
      </c>
      <c r="O1571" s="67" t="inlineStr">
        <is>
          <t>27/02/2026 - Fazer Publicações.</t>
        </is>
      </c>
    </row>
    <row r="1572">
      <c r="A1572" s="40" t="inlineStr">
        <is>
          <t>5003377-29.2021.8.24.0028</t>
        </is>
      </c>
      <c r="B1572" s="40" t="inlineStr">
        <is>
          <t>Outras</t>
        </is>
      </c>
      <c r="D1572" s="67" t="inlineStr">
        <is>
          <t>Renata Francisco Becker</t>
        </is>
      </c>
      <c r="E1572" s="62" t="n">
        <v>44701</v>
      </c>
      <c r="F1572" s="67" t="inlineStr">
        <is>
          <t>Juizo Da 1ª Vara Da Comarca De Icara</t>
        </is>
      </c>
      <c r="I1572" s="67" t="inlineStr"/>
      <c r="J1572" s="67" t="inlineStr">
        <is>
          <t>Tarefa</t>
        </is>
      </c>
      <c r="K1572" s="62" t="n">
        <v>46080</v>
      </c>
      <c r="L1572" s="67" t="inlineStr">
        <is>
          <t>Marelize Controladoria</t>
        </is>
      </c>
      <c r="M1572" s="40" t="inlineStr">
        <is>
          <t>Cumprido</t>
        </is>
      </c>
      <c r="N1572" s="62" t="n">
        <v>46080</v>
      </c>
      <c r="O1572" s="67" t="inlineStr">
        <is>
          <t>27/02/2026 - Olhar E-mails.</t>
        </is>
      </c>
    </row>
    <row r="1573">
      <c r="A1573" s="40" t="inlineStr">
        <is>
          <t>5012268-07.2019.4.04.7204</t>
        </is>
      </c>
      <c r="B1573" s="40" t="inlineStr">
        <is>
          <t>Outras</t>
        </is>
      </c>
      <c r="D1573" s="67" t="inlineStr">
        <is>
          <t>Renata Francisco Becker</t>
        </is>
      </c>
      <c r="E1573" s="62" t="n">
        <v>44707</v>
      </c>
      <c r="F1573" s="67" t="inlineStr">
        <is>
          <t>Juízo Substituto da 1ª VF de Tubarão</t>
        </is>
      </c>
      <c r="I1573" s="67" t="inlineStr"/>
      <c r="J1573" s="67" t="inlineStr">
        <is>
          <t>Tarefa</t>
        </is>
      </c>
      <c r="K1573" s="62" t="n">
        <v>46080</v>
      </c>
      <c r="L1573" s="67" t="inlineStr">
        <is>
          <t>Luci</t>
        </is>
      </c>
      <c r="M1573" s="40" t="inlineStr">
        <is>
          <t>Cumprido</t>
        </is>
      </c>
      <c r="N1573" s="62" t="n">
        <v>46080</v>
      </c>
      <c r="O1573" s="67" t="inlineStr">
        <is>
          <t>27/02/2026 - Verificar atividades monitoradas</t>
        </is>
      </c>
    </row>
    <row r="1574">
      <c r="A1574" s="40" t="inlineStr">
        <is>
          <t>5001801-04.2023.8.24.0166</t>
        </is>
      </c>
      <c r="B1574" s="40" t="inlineStr">
        <is>
          <t>Outras</t>
        </is>
      </c>
      <c r="D1574" s="67" t="inlineStr">
        <is>
          <t>Renata Francisco Becker</t>
        </is>
      </c>
      <c r="E1574" s="62" t="n">
        <v>45126</v>
      </c>
      <c r="F1574" s="67" t="inlineStr">
        <is>
          <t>Juízo da Vara Única da Comarca de Forquilhinha</t>
        </is>
      </c>
      <c r="I1574" s="67" t="inlineStr"/>
      <c r="J1574" s="67" t="inlineStr">
        <is>
          <t>Tarefa</t>
        </is>
      </c>
      <c r="K1574" s="62" t="n">
        <v>46080</v>
      </c>
      <c r="L1574" s="67" t="inlineStr">
        <is>
          <t>Julia</t>
        </is>
      </c>
      <c r="M1574" s="40" t="inlineStr">
        <is>
          <t>Cumprido</t>
        </is>
      </c>
      <c r="N1574" s="62" t="n">
        <v>46080</v>
      </c>
      <c r="O1574" s="67" t="inlineStr">
        <is>
          <t>27/02/2026 - Verificar atividades monitoradas</t>
        </is>
      </c>
    </row>
    <row r="1575">
      <c r="A1575" s="40" t="inlineStr">
        <is>
          <t>5000154-24.2021.8.24.0075</t>
        </is>
      </c>
      <c r="B1575" s="40" t="inlineStr">
        <is>
          <t>Outras</t>
        </is>
      </c>
      <c r="D1575" s="67" t="inlineStr">
        <is>
          <t>Renata Francisco Becker</t>
        </is>
      </c>
      <c r="E1575" s="62" t="n">
        <v>44987</v>
      </c>
      <c r="F1575" s="67" t="inlineStr">
        <is>
          <t>Juízo da 3ª Vara Cível da Comarca de Tubarão</t>
        </is>
      </c>
      <c r="I1575" s="67" t="inlineStr"/>
      <c r="J1575" s="67" t="inlineStr">
        <is>
          <t>Tarefa</t>
        </is>
      </c>
      <c r="K1575" s="62" t="n">
        <v>46080</v>
      </c>
      <c r="L1575" s="67" t="inlineStr">
        <is>
          <t>Julia</t>
        </is>
      </c>
      <c r="M1575" s="40" t="inlineStr">
        <is>
          <t>Cumprido</t>
        </is>
      </c>
      <c r="N1575" s="62" t="n">
        <v>46080</v>
      </c>
      <c r="O1575" s="67" t="inlineStr">
        <is>
          <t xml:space="preserve">Analise de situação o que podemos fazer.
Aqui, o cliente, tem contrato com a operadora, ocorre que ele alega que em varios lugares não estava mais funcionando a cobertura, então, ele mudou de operadora, e agora, querem cobrar a multa de fidelidade dele. E, ele não quer pagar. 
Analisar os protocolos feitos, se é possivel excluirmos essa multa. qualquer coisa, tem os audios do Valnir no meu particular, ou podes, analisar primeiro os documentos e depois ligar para ele para sanar duvidas. </t>
        </is>
      </c>
    </row>
    <row r="1576">
      <c r="A1576" s="40" t="inlineStr">
        <is>
          <t>5009275-75.2022.8.24.0064</t>
        </is>
      </c>
      <c r="B1576" s="40" t="inlineStr">
        <is>
          <t>Outras</t>
        </is>
      </c>
      <c r="D1576" s="67" t="inlineStr">
        <is>
          <t>Renata Francisco Becker</t>
        </is>
      </c>
      <c r="E1576" s="62" t="n">
        <v>45100</v>
      </c>
      <c r="F1576" s="67" t="inlineStr">
        <is>
          <t>Juízo da 4ª Vara Cível da Comarca de São José</t>
        </is>
      </c>
      <c r="I1576" s="67" t="inlineStr">
        <is>
          <t>0000198-30.2026.5.12.0046</t>
        </is>
      </c>
      <c r="J1576" s="67" t="inlineStr">
        <is>
          <t>Tarefa</t>
        </is>
      </c>
      <c r="K1576" s="62" t="n">
        <v>46080</v>
      </c>
      <c r="L1576" s="67" t="inlineStr">
        <is>
          <t>Marelize Controladoria</t>
        </is>
      </c>
      <c r="M1576" s="40" t="inlineStr">
        <is>
          <t>Cumprido</t>
        </is>
      </c>
      <c r="N1576" s="62" t="n">
        <v>46080</v>
      </c>
      <c r="O1576" s="67" t="inlineStr">
        <is>
          <t>Avisar cliente da audiencia</t>
        </is>
      </c>
    </row>
    <row r="1577">
      <c r="A1577" s="40" t="n"/>
      <c r="B1577" s="40" t="inlineStr">
        <is>
          <t>Outras</t>
        </is>
      </c>
      <c r="D1577" s="67" t="inlineStr">
        <is>
          <t>Pedro Victor</t>
        </is>
      </c>
      <c r="E1577" s="62" t="n">
        <v>45026</v>
      </c>
      <c r="I1577" s="67" t="inlineStr">
        <is>
          <t>5023102-23.2024.8.24.0020</t>
        </is>
      </c>
      <c r="J1577" s="67" t="inlineStr">
        <is>
          <t>Tarefa</t>
        </is>
      </c>
      <c r="K1577" s="62" t="n">
        <v>46080</v>
      </c>
      <c r="L1577" s="67" t="inlineStr">
        <is>
          <t>Marelize Controladoria</t>
        </is>
      </c>
      <c r="M1577" s="40" t="inlineStr">
        <is>
          <t>Cumprido</t>
        </is>
      </c>
      <c r="N1577" s="62" t="n">
        <v>46080</v>
      </c>
      <c r="O1577" s="67" t="inlineStr">
        <is>
          <t>Avisar cliente da audiencia.</t>
        </is>
      </c>
    </row>
    <row r="1578">
      <c r="A1578" s="40" t="inlineStr">
        <is>
          <t>5014986-62.2023.8.24.0020</t>
        </is>
      </c>
      <c r="B1578" s="40" t="inlineStr">
        <is>
          <t>Outras</t>
        </is>
      </c>
      <c r="D1578" s="67" t="inlineStr">
        <is>
          <t>Renata Francisco Becker</t>
        </is>
      </c>
      <c r="E1578" s="62" t="n">
        <v>45111</v>
      </c>
      <c r="F1578" s="67" t="inlineStr"/>
      <c r="I1578" s="67" t="inlineStr">
        <is>
          <t>5000680-65.2026.8.24.0026</t>
        </is>
      </c>
      <c r="J1578" s="67" t="inlineStr">
        <is>
          <t>Tarefa</t>
        </is>
      </c>
      <c r="K1578" s="62" t="n">
        <v>46080</v>
      </c>
      <c r="L1578" s="67" t="inlineStr">
        <is>
          <t xml:space="preserve">Alexia </t>
        </is>
      </c>
      <c r="M1578" s="40" t="inlineStr">
        <is>
          <t>Cumprido</t>
        </is>
      </c>
      <c r="N1578" s="62" t="n">
        <v>46080</v>
      </c>
      <c r="O1578" s="67" t="inlineStr">
        <is>
          <t>Ciência da Sentença de extinção</t>
        </is>
      </c>
    </row>
    <row r="1579">
      <c r="A1579" s="40" t="inlineStr">
        <is>
          <t>5001944-53.2022.8.24.0028</t>
        </is>
      </c>
      <c r="B1579" s="40" t="inlineStr">
        <is>
          <t>Outras</t>
        </is>
      </c>
      <c r="D1579" s="67" t="inlineStr">
        <is>
          <t>Renata Francisco Becker</t>
        </is>
      </c>
      <c r="E1579" s="62" t="n">
        <v>44701</v>
      </c>
      <c r="F1579" s="67" t="inlineStr">
        <is>
          <t>Juizo Da 1ª Vara Da Comarca De Icara</t>
        </is>
      </c>
      <c r="I1579" s="67" t="inlineStr">
        <is>
          <t>0001324-12.2025.5.12.0027</t>
        </is>
      </c>
      <c r="J1579" s="67" t="inlineStr">
        <is>
          <t>Tarefa</t>
        </is>
      </c>
      <c r="K1579" s="62" t="n">
        <v>46080</v>
      </c>
      <c r="L1579" s="67" t="inlineStr">
        <is>
          <t>Luci</t>
        </is>
      </c>
      <c r="M1579" s="40" t="inlineStr">
        <is>
          <t>Cumprido</t>
        </is>
      </c>
      <c r="N1579" s="62" t="n">
        <v>46080</v>
      </c>
      <c r="O1579" s="67" t="inlineStr">
        <is>
          <t xml:space="preserve">corrigir petição </t>
        </is>
      </c>
    </row>
    <row r="1580">
      <c r="A1580" s="40" t="inlineStr">
        <is>
          <t>5003394-65.2021.8.24.0028</t>
        </is>
      </c>
      <c r="B1580" s="40" t="inlineStr">
        <is>
          <t>Outras</t>
        </is>
      </c>
      <c r="D1580" s="67" t="inlineStr">
        <is>
          <t>Renata Francisco Becker</t>
        </is>
      </c>
      <c r="E1580" s="62" t="n">
        <v>44701</v>
      </c>
      <c r="F1580" s="67" t="inlineStr">
        <is>
          <t>Juizo Da 1ª Vara Da Comarca De Icara</t>
        </is>
      </c>
      <c r="I1580" s="67" t="inlineStr">
        <is>
          <t>50186057720258240004</t>
        </is>
      </c>
      <c r="J1580" s="67" t="inlineStr">
        <is>
          <t>Tarefa</t>
        </is>
      </c>
      <c r="K1580" s="62" t="n">
        <v>46080</v>
      </c>
      <c r="L1580" s="67" t="inlineStr">
        <is>
          <t xml:space="preserve">Alexia </t>
        </is>
      </c>
      <c r="M1580" s="40" t="inlineStr">
        <is>
          <t>Cumprido</t>
        </is>
      </c>
      <c r="N1580" s="62" t="n">
        <v>46080</v>
      </c>
      <c r="O1580" s="67" t="inlineStr">
        <is>
          <t>Documentos de contratação Jessica</t>
        </is>
      </c>
    </row>
    <row r="1581">
      <c r="A1581" s="40" t="inlineStr">
        <is>
          <t>0000455-29.2022.5.12.0003</t>
        </is>
      </c>
      <c r="B1581" s="40" t="inlineStr">
        <is>
          <t>Outras</t>
        </is>
      </c>
      <c r="D1581" s="67" t="inlineStr">
        <is>
          <t>Renata Francisco Becker</t>
        </is>
      </c>
      <c r="E1581" s="62" t="n">
        <v>44802</v>
      </c>
      <c r="F1581" s="67" t="inlineStr">
        <is>
          <t>CEJUSC-JT/Criciuma</t>
        </is>
      </c>
      <c r="I1581" s="67" t="inlineStr"/>
      <c r="J1581" s="67" t="inlineStr">
        <is>
          <t>Tarefa</t>
        </is>
      </c>
      <c r="K1581" s="62" t="n">
        <v>46080</v>
      </c>
      <c r="L1581" s="67" t="inlineStr">
        <is>
          <t>Julia</t>
        </is>
      </c>
      <c r="M1581" s="40" t="inlineStr">
        <is>
          <t>Cumprido</t>
        </is>
      </c>
      <c r="N1581" s="62" t="n">
        <v>46080</v>
      </c>
      <c r="O1581" s="67" t="inlineStr">
        <is>
          <t>Finalização</t>
        </is>
      </c>
    </row>
    <row r="1582">
      <c r="A1582" s="40" t="inlineStr">
        <is>
          <t>5013779-40.2019.4.04.7204</t>
        </is>
      </c>
      <c r="B1582" s="40" t="inlineStr">
        <is>
          <t>Outras</t>
        </is>
      </c>
      <c r="D1582" s="67" t="inlineStr">
        <is>
          <t>Renata Francisco Becker</t>
        </is>
      </c>
      <c r="E1582" s="62" t="n">
        <v>44719</v>
      </c>
      <c r="F1582" s="67" t="inlineStr">
        <is>
          <t>Juízo Substituto da 4ª VF de Criciúma</t>
        </is>
      </c>
      <c r="I1582" s="67" t="inlineStr"/>
      <c r="J1582" s="67" t="inlineStr">
        <is>
          <t>Tarefa</t>
        </is>
      </c>
      <c r="K1582" s="62" t="n">
        <v>46080</v>
      </c>
      <c r="L1582" s="67" t="inlineStr">
        <is>
          <t>Julia</t>
        </is>
      </c>
      <c r="M1582" s="40" t="inlineStr">
        <is>
          <t>Cumprido</t>
        </is>
      </c>
      <c r="N1582" s="62" t="n">
        <v>46080</v>
      </c>
      <c r="O1582" s="67" t="inlineStr">
        <is>
          <t>Julia, o Rafael tem esse emprestimo, e ele tem seguro, olhar se esse seguro, ele dá quitação na parte da Franciele, esposa falecida. E quita parcial ou total o seguro. Ou, ainda, até, o valor totoal. Qualquer coisa podes chamar ele, mas ele é mais perdido que nós kkkk</t>
        </is>
      </c>
    </row>
    <row r="1583">
      <c r="A1583" s="40" t="inlineStr">
        <is>
          <t>5000011-23.2014.8.24.0029</t>
        </is>
      </c>
      <c r="B1583" s="40" t="inlineStr">
        <is>
          <t>Outras</t>
        </is>
      </c>
      <c r="D1583" s="67" t="inlineStr">
        <is>
          <t>Renata Francisco Becker</t>
        </is>
      </c>
      <c r="E1583" s="62" t="n">
        <v>45117</v>
      </c>
      <c r="F1583" s="67" t="inlineStr"/>
      <c r="I1583" s="67" t="inlineStr">
        <is>
          <t>0028824-87.2025.8.19.0001</t>
        </is>
      </c>
      <c r="J1583" s="67" t="inlineStr">
        <is>
          <t>Tarefa</t>
        </is>
      </c>
      <c r="K1583" s="62" t="n">
        <v>46080</v>
      </c>
      <c r="L1583" s="67" t="inlineStr">
        <is>
          <t>Julia</t>
        </is>
      </c>
      <c r="M1583" s="40" t="inlineStr">
        <is>
          <t>Cumprido</t>
        </is>
      </c>
      <c r="N1583" s="62" t="n">
        <v>46080</v>
      </c>
      <c r="O1583" s="67" t="inlineStr">
        <is>
          <t>Ligar para cobrar liberaçao do NIVUS.</t>
        </is>
      </c>
    </row>
    <row r="1584">
      <c r="A1584" s="40" t="inlineStr">
        <is>
          <t>0000432-87.2023.5.12.0055</t>
        </is>
      </c>
      <c r="B1584" s="40" t="inlineStr">
        <is>
          <t>Outras</t>
        </is>
      </c>
      <c r="D1584" s="67" t="inlineStr">
        <is>
          <t>Renata Francisco Becker</t>
        </is>
      </c>
      <c r="E1584" s="62" t="n">
        <v>45092</v>
      </c>
      <c r="F1584" s="67" t="inlineStr"/>
      <c r="I1584" s="67" t="inlineStr"/>
      <c r="J1584" s="67" t="inlineStr">
        <is>
          <t>Tarefa</t>
        </is>
      </c>
      <c r="K1584" s="62" t="n">
        <v>46080</v>
      </c>
      <c r="L1584" s="67" t="inlineStr">
        <is>
          <t xml:space="preserve">Lucas </t>
        </is>
      </c>
      <c r="M1584" s="40" t="inlineStr">
        <is>
          <t>Cumprido</t>
        </is>
      </c>
      <c r="N1584" s="62" t="n">
        <v>46080</v>
      </c>
      <c r="O1584" s="67" t="inlineStr">
        <is>
          <t>MONITORAMENTO 08650.047889/2026-93 SEI.</t>
        </is>
      </c>
    </row>
    <row r="1585">
      <c r="A1585" s="40" t="inlineStr">
        <is>
          <t>0306480-22.2017.8.24.0020</t>
        </is>
      </c>
      <c r="B1585" s="40" t="inlineStr">
        <is>
          <t>Outras</t>
        </is>
      </c>
      <c r="D1585" s="67" t="inlineStr">
        <is>
          <t>Renata Francisco Becker</t>
        </is>
      </c>
      <c r="E1585" s="62" t="n">
        <v>44701</v>
      </c>
      <c r="F1585" s="67" t="inlineStr">
        <is>
          <t>Juizado Especial Civel</t>
        </is>
      </c>
      <c r="I1585" s="67" t="inlineStr"/>
      <c r="J1585" s="67" t="inlineStr">
        <is>
          <t>Tarefa</t>
        </is>
      </c>
      <c r="K1585" s="62" t="n">
        <v>46080</v>
      </c>
      <c r="L1585" s="67" t="inlineStr">
        <is>
          <t xml:space="preserve">Lucas </t>
        </is>
      </c>
      <c r="M1585" s="40" t="inlineStr">
        <is>
          <t>Cumprido</t>
        </is>
      </c>
      <c r="N1585" s="62" t="n">
        <v>46080</v>
      </c>
      <c r="O1585" s="67" t="inlineStr">
        <is>
          <t>MONITORAR - 00407.016338/2026-58 Supersapiens Reficel</t>
        </is>
      </c>
    </row>
    <row r="1586">
      <c r="A1586" s="40" t="inlineStr">
        <is>
          <t>5004348-22.2020.8.24.0069</t>
        </is>
      </c>
      <c r="B1586" s="40" t="inlineStr">
        <is>
          <t>Outras</t>
        </is>
      </c>
      <c r="D1586" s="67" t="inlineStr">
        <is>
          <t>Renata Francisco Becker</t>
        </is>
      </c>
      <c r="E1586" s="62" t="n">
        <v>44701</v>
      </c>
      <c r="F1586" s="67" t="inlineStr">
        <is>
          <t>Juizo Da 1ª Vara Da Comarca De Sombrio</t>
        </is>
      </c>
      <c r="I1586" s="67" t="inlineStr"/>
      <c r="J1586" s="67" t="inlineStr">
        <is>
          <t>Tarefa</t>
        </is>
      </c>
      <c r="K1586" s="62" t="n">
        <v>46080</v>
      </c>
      <c r="L1586" s="67" t="inlineStr">
        <is>
          <t xml:space="preserve">Lucas </t>
        </is>
      </c>
      <c r="M1586" s="40" t="inlineStr">
        <is>
          <t>Cumprido</t>
        </is>
      </c>
      <c r="N1586" s="62" t="n">
        <v>46080</v>
      </c>
      <c r="O1586" s="67" t="inlineStr">
        <is>
          <t>MONITORAR - 50001038541202616 ANTT REFICEL</t>
        </is>
      </c>
    </row>
    <row r="1587">
      <c r="A1587" s="40" t="inlineStr">
        <is>
          <t>5002159-63.2021.8.24.0028</t>
        </is>
      </c>
      <c r="B1587" s="40" t="inlineStr">
        <is>
          <t>Outras</t>
        </is>
      </c>
      <c r="D1587" s="67" t="inlineStr">
        <is>
          <t>Renata Francisco Becker</t>
        </is>
      </c>
      <c r="E1587" s="62" t="n">
        <v>44701</v>
      </c>
      <c r="F1587" s="67" t="inlineStr">
        <is>
          <t>Juizo Da 1ª Vara Da Comarca De Icara</t>
        </is>
      </c>
      <c r="I1587" s="67" t="inlineStr"/>
      <c r="J1587" s="67" t="inlineStr">
        <is>
          <t>Tarefa</t>
        </is>
      </c>
      <c r="K1587" s="62" t="n">
        <v>46080</v>
      </c>
      <c r="L1587" s="67" t="inlineStr">
        <is>
          <t xml:space="preserve">Lucas </t>
        </is>
      </c>
      <c r="M1587" s="40" t="inlineStr">
        <is>
          <t>Cumprido</t>
        </is>
      </c>
      <c r="N1587" s="62" t="n">
        <v>46080</v>
      </c>
      <c r="O1587" s="67" t="inlineStr">
        <is>
          <t>MONITORAR 08650.047889/2026-93 SEI.</t>
        </is>
      </c>
    </row>
    <row r="1588">
      <c r="A1588" s="40" t="inlineStr">
        <is>
          <t>5000600-37.2022.8.24.0028</t>
        </is>
      </c>
      <c r="B1588" s="40" t="inlineStr">
        <is>
          <t>Outras</t>
        </is>
      </c>
      <c r="D1588" s="67" t="inlineStr">
        <is>
          <t>Renata Francisco Becker</t>
        </is>
      </c>
      <c r="E1588" s="62" t="n">
        <v>44701</v>
      </c>
      <c r="F1588" s="67" t="inlineStr">
        <is>
          <t>Juizo Da 1ª Vara Da Comarca De Icara</t>
        </is>
      </c>
      <c r="I1588" s="67" t="inlineStr"/>
      <c r="J1588" s="67" t="inlineStr">
        <is>
          <t>Tarefa</t>
        </is>
      </c>
      <c r="K1588" s="62" t="n">
        <v>46080</v>
      </c>
      <c r="L1588" s="67" t="inlineStr">
        <is>
          <t xml:space="preserve">Lucas </t>
        </is>
      </c>
      <c r="M1588" s="40" t="inlineStr">
        <is>
          <t>Cumprido</t>
        </is>
      </c>
      <c r="N1588" s="62" t="n">
        <v>46080</v>
      </c>
      <c r="O1588" s="67" t="inlineStr">
        <is>
          <t>MONITORAR 08650.047889/2026-93 SEI.</t>
        </is>
      </c>
    </row>
    <row r="1589">
      <c r="A1589" s="40" t="inlineStr">
        <is>
          <t>5001125-14.2020.8.24.0020</t>
        </is>
      </c>
      <c r="B1589" s="40" t="inlineStr">
        <is>
          <t>Outras</t>
        </is>
      </c>
      <c r="D1589" s="67" t="inlineStr">
        <is>
          <t>Renata Francisco Becker</t>
        </is>
      </c>
      <c r="E1589" s="62" t="n">
        <v>44701</v>
      </c>
      <c r="F1589" s="67" t="inlineStr">
        <is>
          <t>Juizo Da 2ª Vara Da Fazenda Publica Da Comarca De Criciuma</t>
        </is>
      </c>
      <c r="I1589" s="67" t="inlineStr"/>
      <c r="J1589" s="67" t="inlineStr">
        <is>
          <t>Tarefa</t>
        </is>
      </c>
      <c r="K1589" s="62" t="n">
        <v>46080</v>
      </c>
      <c r="L1589" s="67" t="inlineStr">
        <is>
          <t xml:space="preserve">Lucas </t>
        </is>
      </c>
      <c r="M1589" s="40" t="inlineStr">
        <is>
          <t>Cumprido</t>
        </is>
      </c>
      <c r="N1589" s="62" t="n">
        <v>46080</v>
      </c>
      <c r="O1589" s="67" t="inlineStr">
        <is>
          <t xml:space="preserve">Monitorar assinaturas </t>
        </is>
      </c>
    </row>
    <row r="1590">
      <c r="A1590" s="40" t="inlineStr">
        <is>
          <t>189569</t>
        </is>
      </c>
      <c r="B1590" s="40" t="inlineStr">
        <is>
          <t>Outras</t>
        </is>
      </c>
      <c r="D1590" s="67" t="inlineStr">
        <is>
          <t>Renata Francisco Becker</t>
        </is>
      </c>
      <c r="E1590" s="62" t="n">
        <v>44749</v>
      </c>
      <c r="F1590" s="67" t="inlineStr"/>
      <c r="I1590" s="67" t="inlineStr">
        <is>
          <t>50505.002577/2026-91</t>
        </is>
      </c>
      <c r="J1590" s="67" t="inlineStr">
        <is>
          <t>Tarefa</t>
        </is>
      </c>
      <c r="K1590" s="62" t="n">
        <v>46080</v>
      </c>
      <c r="L1590" s="67" t="inlineStr">
        <is>
          <t xml:space="preserve">Lucas </t>
        </is>
      </c>
      <c r="M1590" s="40" t="inlineStr">
        <is>
          <t>Cumprido</t>
        </is>
      </c>
      <c r="N1590" s="62" t="n">
        <v>46080</v>
      </c>
      <c r="O1590" s="67" t="inlineStr">
        <is>
          <t xml:space="preserve">Monitorar pedido de cancelamento de adesão a notificação por meio eletrônico (50505.002577/2026-91)
</t>
        </is>
      </c>
    </row>
    <row r="1591">
      <c r="A1591" s="40" t="inlineStr">
        <is>
          <t>5005399-60.2021.8.24.0028</t>
        </is>
      </c>
      <c r="B1591" s="40" t="inlineStr">
        <is>
          <t>Outras</t>
        </is>
      </c>
      <c r="D1591" s="67" t="inlineStr">
        <is>
          <t>Renata Francisco Becker</t>
        </is>
      </c>
      <c r="E1591" s="62" t="n">
        <v>44701</v>
      </c>
      <c r="F1591" s="67" t="inlineStr">
        <is>
          <t>Juizo Da 1ª Vara Da Comarca De Icara</t>
        </is>
      </c>
      <c r="I1591" s="67" t="inlineStr">
        <is>
          <t>5001161-65.2025.8.24.0025</t>
        </is>
      </c>
      <c r="J1591" s="67" t="inlineStr">
        <is>
          <t>Tarefa</t>
        </is>
      </c>
      <c r="K1591" s="62" t="n">
        <v>46080</v>
      </c>
      <c r="L1591" s="67" t="inlineStr">
        <is>
          <t xml:space="preserve">Alexia </t>
        </is>
      </c>
      <c r="M1591" s="40" t="inlineStr">
        <is>
          <t>Cumprido</t>
        </is>
      </c>
      <c r="N1591" s="62" t="n">
        <v>46080</v>
      </c>
      <c r="O1591" s="67" t="inlineStr">
        <is>
          <t>Protocolo</t>
        </is>
      </c>
    </row>
    <row r="1592">
      <c r="A1592" s="40" t="inlineStr">
        <is>
          <t>5005390-98.2021.8.24.0028</t>
        </is>
      </c>
      <c r="B1592" s="40" t="inlineStr">
        <is>
          <t>Outras</t>
        </is>
      </c>
      <c r="D1592" s="67" t="inlineStr">
        <is>
          <t>Renata Francisco Becker</t>
        </is>
      </c>
      <c r="E1592" s="62" t="n">
        <v>44701</v>
      </c>
      <c r="F1592" s="67" t="inlineStr">
        <is>
          <t>Juizo Da 1ª Vara Da Comarca De Icara</t>
        </is>
      </c>
      <c r="I1592" s="67" t="inlineStr">
        <is>
          <t>50617396920258240000</t>
        </is>
      </c>
      <c r="J1592" s="67" t="inlineStr">
        <is>
          <t>Tarefa</t>
        </is>
      </c>
      <c r="K1592" s="62" t="n">
        <v>46080</v>
      </c>
      <c r="L1592" s="67" t="inlineStr">
        <is>
          <t xml:space="preserve">Alexia </t>
        </is>
      </c>
      <c r="M1592" s="40" t="inlineStr">
        <is>
          <t>Cumprido</t>
        </is>
      </c>
      <c r="N1592" s="62" t="n">
        <v>46080</v>
      </c>
      <c r="O1592" s="67" t="inlineStr">
        <is>
          <t>Protocolo</t>
        </is>
      </c>
    </row>
    <row r="1593">
      <c r="A1593" s="40" t="inlineStr">
        <is>
          <t>5005383-09.2021.8.24.0028</t>
        </is>
      </c>
      <c r="B1593" s="40" t="inlineStr">
        <is>
          <t>Outras</t>
        </is>
      </c>
      <c r="D1593" s="67" t="inlineStr">
        <is>
          <t>Renata Francisco Becker</t>
        </is>
      </c>
      <c r="E1593" s="62" t="n">
        <v>44701</v>
      </c>
      <c r="F1593" s="67" t="inlineStr">
        <is>
          <t>Juizo Da 1ª Vara Da Comarca De Icara</t>
        </is>
      </c>
      <c r="I1593" s="67" t="inlineStr">
        <is>
          <t>5001401-92.2020.8.24.0166</t>
        </is>
      </c>
      <c r="J1593" s="67" t="inlineStr">
        <is>
          <t>Tarefa</t>
        </is>
      </c>
      <c r="K1593" s="62" t="n">
        <v>46080</v>
      </c>
      <c r="L1593" s="67" t="inlineStr">
        <is>
          <t>Jessica</t>
        </is>
      </c>
      <c r="M1593" s="40" t="inlineStr">
        <is>
          <t>Cumprido</t>
        </is>
      </c>
      <c r="N1593" s="62" t="n">
        <v>46080</v>
      </c>
      <c r="O1593" s="67" t="inlineStr">
        <is>
          <t>Protocolo</t>
        </is>
      </c>
    </row>
    <row r="1594">
      <c r="A1594" s="40" t="inlineStr">
        <is>
          <t>0305631-50.2017.8.24.0020</t>
        </is>
      </c>
      <c r="B1594" s="40" t="inlineStr">
        <is>
          <t>Outras</t>
        </is>
      </c>
      <c r="D1594" s="67" t="inlineStr">
        <is>
          <t>Renata Francisco Becker</t>
        </is>
      </c>
      <c r="E1594" s="62" t="n">
        <v>45099</v>
      </c>
      <c r="F1594" s="67" t="inlineStr"/>
      <c r="I1594" s="67" t="inlineStr">
        <is>
          <t>5006478-59.2025.8.24.0020</t>
        </is>
      </c>
      <c r="J1594" s="67" t="inlineStr">
        <is>
          <t>Tarefa</t>
        </is>
      </c>
      <c r="K1594" s="62" t="n">
        <v>46080</v>
      </c>
      <c r="L1594" s="67" t="inlineStr">
        <is>
          <t>Julia</t>
        </is>
      </c>
      <c r="M1594" s="40" t="inlineStr">
        <is>
          <t>Cumprido</t>
        </is>
      </c>
      <c r="N1594" s="62" t="n">
        <v>46080</v>
      </c>
      <c r="O1594" s="67" t="inlineStr">
        <is>
          <t>Protocolo</t>
        </is>
      </c>
    </row>
    <row r="1595">
      <c r="A1595" s="40" t="n"/>
      <c r="B1595" s="40" t="inlineStr">
        <is>
          <t>Outras</t>
        </is>
      </c>
      <c r="D1595" s="67" t="inlineStr">
        <is>
          <t>Pedro Victor</t>
        </is>
      </c>
      <c r="E1595" s="62" t="n">
        <v>45092</v>
      </c>
      <c r="I1595" s="67" t="inlineStr"/>
      <c r="J1595" s="67" t="inlineStr">
        <is>
          <t>Tarefa</t>
        </is>
      </c>
      <c r="K1595" s="62" t="n">
        <v>46080</v>
      </c>
      <c r="L1595" s="67" t="inlineStr">
        <is>
          <t>Julia</t>
        </is>
      </c>
      <c r="M1595" s="40" t="inlineStr">
        <is>
          <t>Cumprido</t>
        </is>
      </c>
      <c r="N1595" s="62" t="n">
        <v>46080</v>
      </c>
      <c r="O1595" s="67" t="inlineStr">
        <is>
          <t>Protocolo</t>
        </is>
      </c>
    </row>
    <row r="1596">
      <c r="A1596" s="40" t="inlineStr">
        <is>
          <t>2.337.112</t>
        </is>
      </c>
      <c r="B1596" s="40" t="inlineStr">
        <is>
          <t>Outras</t>
        </is>
      </c>
      <c r="D1596" s="67" t="inlineStr">
        <is>
          <t>Renata Francisco Becker</t>
        </is>
      </c>
      <c r="E1596" s="62" t="n">
        <v>45089</v>
      </c>
      <c r="F1596" s="67" t="inlineStr"/>
      <c r="I1596" s="67" t="inlineStr"/>
      <c r="J1596" s="67" t="inlineStr">
        <is>
          <t>Tarefa</t>
        </is>
      </c>
      <c r="K1596" s="62" t="n">
        <v>46080</v>
      </c>
      <c r="L1596" s="67" t="inlineStr">
        <is>
          <t>Julia</t>
        </is>
      </c>
      <c r="M1596" s="40" t="inlineStr">
        <is>
          <t>Cumprido</t>
        </is>
      </c>
      <c r="N1596" s="62" t="n">
        <v>46080</v>
      </c>
      <c r="O1596" s="67" t="inlineStr">
        <is>
          <t>RETORNO CLIENTE - VALIDAÇÃO DE INSTRUÇÕES DE BOLETO CR</t>
        </is>
      </c>
    </row>
    <row r="1597">
      <c r="A1597" s="40" t="n"/>
      <c r="B1597" s="40" t="inlineStr">
        <is>
          <t>Outras</t>
        </is>
      </c>
      <c r="D1597" s="67" t="inlineStr">
        <is>
          <t>Pedro Victor</t>
        </is>
      </c>
      <c r="E1597" s="62" t="n">
        <v>45084</v>
      </c>
      <c r="I1597" s="67" t="inlineStr"/>
      <c r="J1597" s="67" t="inlineStr">
        <is>
          <t>Tarefa</t>
        </is>
      </c>
      <c r="K1597" s="62" t="n">
        <v>46080</v>
      </c>
      <c r="L1597" s="67" t="inlineStr">
        <is>
          <t>Julia</t>
        </is>
      </c>
      <c r="M1597" s="40" t="inlineStr">
        <is>
          <t>Cumprido</t>
        </is>
      </c>
      <c r="N1597" s="62" t="n">
        <v>46080</v>
      </c>
      <c r="O1597" s="67" t="inlineStr">
        <is>
          <t>RETORNO CLIENTE CR - DUVIDAS SOBRE PROTESTO E COBRANÇA DO CONJUGE</t>
        </is>
      </c>
    </row>
    <row r="1598">
      <c r="A1598" s="40" t="inlineStr">
        <is>
          <t>5006898-40.2020.8.24.0020</t>
        </is>
      </c>
      <c r="B1598" s="40" t="inlineStr">
        <is>
          <t>Outras</t>
        </is>
      </c>
      <c r="D1598" s="67" t="inlineStr">
        <is>
          <t>Renata Francisco Becker</t>
        </is>
      </c>
      <c r="E1598" s="62" t="n">
        <v>44701</v>
      </c>
      <c r="F1598" s="67" t="inlineStr">
        <is>
          <t>Juizo Da 4ª Vara Civel Da Comarca De Criciuma</t>
        </is>
      </c>
      <c r="I1598" s="67" t="inlineStr">
        <is>
          <t>5000678-95.2026.8.24.0026</t>
        </is>
      </c>
      <c r="J1598" s="67" t="inlineStr">
        <is>
          <t>Tarefa</t>
        </is>
      </c>
      <c r="K1598" s="62" t="n">
        <v>46080</v>
      </c>
      <c r="L1598" s="67" t="inlineStr">
        <is>
          <t>Pedro Victor</t>
        </is>
      </c>
      <c r="M1598" s="40" t="inlineStr">
        <is>
          <t>Cumprido</t>
        </is>
      </c>
      <c r="N1598" s="62" t="n">
        <v>46080</v>
      </c>
      <c r="O1598" s="67" t="inlineStr">
        <is>
          <t>Revisão</t>
        </is>
      </c>
    </row>
    <row r="1599">
      <c r="A1599" s="40" t="inlineStr">
        <is>
          <t>50068984020208240020</t>
        </is>
      </c>
      <c r="B1599" s="40" t="inlineStr">
        <is>
          <t>Outras</t>
        </is>
      </c>
      <c r="D1599" s="67" t="inlineStr">
        <is>
          <t>Renata Francisco Becker</t>
        </is>
      </c>
      <c r="E1599" s="62" t="n">
        <v>44853</v>
      </c>
      <c r="F1599" s="67" t="inlineStr"/>
      <c r="I1599" s="67" t="inlineStr"/>
      <c r="J1599" s="67" t="inlineStr">
        <is>
          <t>Tarefa</t>
        </is>
      </c>
      <c r="K1599" s="62" t="n">
        <v>46080</v>
      </c>
      <c r="L1599" s="67" t="inlineStr">
        <is>
          <t>Pedro Victor</t>
        </is>
      </c>
      <c r="M1599" s="40" t="inlineStr">
        <is>
          <t>Cumprido</t>
        </is>
      </c>
      <c r="N1599" s="62" t="n">
        <v>46080</v>
      </c>
      <c r="O1599" s="67" t="inlineStr">
        <is>
          <t>Revisão</t>
        </is>
      </c>
    </row>
    <row r="1600">
      <c r="A1600" s="40" t="inlineStr">
        <is>
          <t>0301166-27.2019.8.24.0020</t>
        </is>
      </c>
      <c r="B1600" s="40" t="inlineStr">
        <is>
          <t>Outras</t>
        </is>
      </c>
      <c r="D1600" s="67" t="inlineStr">
        <is>
          <t>Renata Francisco Becker</t>
        </is>
      </c>
      <c r="E1600" s="62" t="n">
        <v>44701</v>
      </c>
      <c r="F1600" s="67" t="inlineStr">
        <is>
          <t>2ª Vara Civel</t>
        </is>
      </c>
      <c r="I1600" s="67" t="inlineStr">
        <is>
          <t>00001865320235120003</t>
        </is>
      </c>
      <c r="J1600" s="67" t="inlineStr">
        <is>
          <t>Tarefa</t>
        </is>
      </c>
      <c r="K1600" s="62" t="n">
        <v>46080</v>
      </c>
      <c r="L1600" s="67" t="inlineStr">
        <is>
          <t>Pedro Victor</t>
        </is>
      </c>
      <c r="M1600" s="40" t="inlineStr">
        <is>
          <t>Cumprido</t>
        </is>
      </c>
      <c r="N1600" s="62" t="n">
        <v>46080</v>
      </c>
      <c r="O1600" s="67" t="inlineStr">
        <is>
          <t>Revisão</t>
        </is>
      </c>
    </row>
    <row r="1601">
      <c r="A1601" s="40" t="n"/>
      <c r="B1601" s="40" t="inlineStr">
        <is>
          <t>Outras</t>
        </is>
      </c>
      <c r="D1601" s="67" t="inlineStr">
        <is>
          <t>Pedro Victor</t>
        </is>
      </c>
      <c r="E1601" s="62" t="n">
        <v>45084</v>
      </c>
      <c r="I1601" s="67" t="inlineStr"/>
      <c r="J1601" s="67" t="inlineStr">
        <is>
          <t>Evento</t>
        </is>
      </c>
      <c r="K1601" s="62" t="n">
        <v>46080</v>
      </c>
      <c r="L1601" s="67" t="inlineStr">
        <is>
          <t xml:space="preserve">Lucas </t>
        </is>
      </c>
      <c r="M1601" s="40" t="inlineStr">
        <is>
          <t>Cumprido</t>
        </is>
      </c>
      <c r="N1601" s="62" t="n">
        <v>46080</v>
      </c>
      <c r="O1601" s="67" t="inlineStr">
        <is>
          <t>Verificar retorno da ANTT chamados e Monitorar SIFAMA pra ver se o cliente recebeu notificação.</t>
        </is>
      </c>
    </row>
    <row r="1602">
      <c r="A1602" s="40" t="inlineStr">
        <is>
          <t>0000497-59.2021.5.12.0053</t>
        </is>
      </c>
      <c r="B1602" s="40" t="inlineStr">
        <is>
          <t>Outras</t>
        </is>
      </c>
      <c r="D1602" s="67" t="inlineStr">
        <is>
          <t>Renata Francisco Becker</t>
        </is>
      </c>
      <c r="E1602" s="62" t="n">
        <v>44701</v>
      </c>
      <c r="F1602" s="67" t="inlineStr">
        <is>
          <t>3ª Vara Do Trabalho De Criciuma</t>
        </is>
      </c>
      <c r="I1602" s="67" t="inlineStr"/>
      <c r="J1602" s="67" t="inlineStr">
        <is>
          <t>Tarefa</t>
        </is>
      </c>
      <c r="K1602" s="62" t="n">
        <v>46081</v>
      </c>
      <c r="L1602" s="67" t="inlineStr">
        <is>
          <t>Jessica</t>
        </is>
      </c>
      <c r="M1602" s="40" t="inlineStr">
        <is>
          <t>Cumprido</t>
        </is>
      </c>
      <c r="N1602" s="62" t="n">
        <v>46081</v>
      </c>
      <c r="O1602" s="67" t="inlineStr">
        <is>
          <t xml:space="preserve">28/02/2026 - Emitir guia Sidnei Portal regularize </t>
        </is>
      </c>
    </row>
    <row r="1603">
      <c r="A1603" s="40" t="inlineStr">
        <is>
          <t>5003652-24.2021.8.24.0045</t>
        </is>
      </c>
      <c r="B1603" s="40" t="inlineStr">
        <is>
          <t>Outras</t>
        </is>
      </c>
      <c r="D1603" s="67" t="inlineStr">
        <is>
          <t>Renata Francisco Becker</t>
        </is>
      </c>
      <c r="E1603" s="62" t="n">
        <v>44774</v>
      </c>
      <c r="F1603" s="67" t="inlineStr"/>
    </row>
    <row r="1604">
      <c r="A1604" s="40" t="n"/>
      <c r="B1604" s="40" t="inlineStr">
        <is>
          <t>Outras</t>
        </is>
      </c>
      <c r="D1604" s="67" t="inlineStr">
        <is>
          <t>Pedro Victor</t>
        </is>
      </c>
      <c r="E1604" s="62" t="n">
        <v>45055</v>
      </c>
      <c r="F1604" s="67" t="inlineStr"/>
    </row>
    <row r="1605">
      <c r="A1605" s="40" t="inlineStr">
        <is>
          <t>0310445-08.2017.8.24.0020</t>
        </is>
      </c>
      <c r="B1605" s="40" t="inlineStr">
        <is>
          <t>Outras</t>
        </is>
      </c>
      <c r="D1605" s="67" t="inlineStr">
        <is>
          <t>Renata Francisco Becker</t>
        </is>
      </c>
      <c r="E1605" s="62" t="n">
        <v>44992</v>
      </c>
      <c r="F1605" s="67" t="inlineStr">
        <is>
          <t>2ª Vara da Fazenda</t>
        </is>
      </c>
    </row>
    <row r="1606">
      <c r="A1606" s="40" t="n"/>
      <c r="B1606" s="40" t="inlineStr">
        <is>
          <t>Outras</t>
        </is>
      </c>
      <c r="D1606" s="67" t="inlineStr">
        <is>
          <t>Pedro Victor</t>
        </is>
      </c>
      <c r="E1606" s="62" t="n">
        <v>45068</v>
      </c>
    </row>
    <row r="1607">
      <c r="A1607" s="40" t="n"/>
      <c r="B1607" s="40" t="inlineStr">
        <is>
          <t>Outras</t>
        </is>
      </c>
      <c r="D1607" s="67" t="inlineStr">
        <is>
          <t>Pedro Victor</t>
        </is>
      </c>
      <c r="E1607" s="62" t="n">
        <v>45068</v>
      </c>
    </row>
    <row r="1608">
      <c r="A1608" s="40" t="inlineStr">
        <is>
          <t>5000063-12.2020.8.24.0028</t>
        </is>
      </c>
      <c r="B1608" s="40" t="inlineStr">
        <is>
          <t>Outras</t>
        </is>
      </c>
      <c r="D1608" s="67" t="inlineStr">
        <is>
          <t>Renata Francisco Becker</t>
        </is>
      </c>
      <c r="E1608" s="62" t="n">
        <v>44944</v>
      </c>
      <c r="F1608" s="67" t="inlineStr"/>
    </row>
    <row r="1609">
      <c r="A1609" s="40" t="inlineStr">
        <is>
          <t>0000228-64.2022.5.12.0027</t>
        </is>
      </c>
      <c r="B1609" s="40" t="inlineStr">
        <is>
          <t>Outras</t>
        </is>
      </c>
      <c r="D1609" s="67" t="inlineStr">
        <is>
          <t>Renata Francisco Becker</t>
        </is>
      </c>
      <c r="E1609" s="62" t="n">
        <v>44703</v>
      </c>
      <c r="F1609" s="67" t="inlineStr">
        <is>
          <t>2ª VARA DO TRABALHO DE CRICIÚMA</t>
        </is>
      </c>
    </row>
    <row r="1610">
      <c r="A1610" s="40" t="inlineStr">
        <is>
          <t>5010675-06.2020.4.04.7204</t>
        </is>
      </c>
      <c r="B1610" s="40" t="inlineStr">
        <is>
          <t>Outras</t>
        </is>
      </c>
      <c r="D1610" s="67" t="inlineStr">
        <is>
          <t>Renata Francisco Becker</t>
        </is>
      </c>
      <c r="E1610" s="62" t="n">
        <v>44725</v>
      </c>
      <c r="F1610" s="67" t="inlineStr">
        <is>
          <t>Juízo Substituto da 4ª VF de Criciúma</t>
        </is>
      </c>
    </row>
    <row r="1611">
      <c r="A1611" s="40" t="inlineStr">
        <is>
          <t>5001554-73.2023.8.24.0020</t>
        </is>
      </c>
      <c r="B1611" s="40" t="inlineStr">
        <is>
          <t>Outras</t>
        </is>
      </c>
      <c r="D1611" s="67" t="inlineStr">
        <is>
          <t>Renata Francisco Becker</t>
        </is>
      </c>
      <c r="E1611" s="62" t="n">
        <v>44956</v>
      </c>
      <c r="F1611" s="67" t="inlineStr">
        <is>
          <t>Juízo da 2ª Vara da Fazenda Pública da Comarca de Criciúma</t>
        </is>
      </c>
    </row>
    <row r="1612">
      <c r="A1612" s="40" t="inlineStr">
        <is>
          <t>5029928-36.2022.8.24.0020</t>
        </is>
      </c>
      <c r="B1612" s="40" t="inlineStr">
        <is>
          <t>Outras</t>
        </is>
      </c>
      <c r="D1612" s="67" t="inlineStr">
        <is>
          <t>Renata Francisco Becker</t>
        </is>
      </c>
      <c r="E1612" s="62" t="n">
        <v>44943</v>
      </c>
      <c r="F1612" s="67" t="inlineStr">
        <is>
          <t>Juízo da 2ª Vara da Fazenda Pública da Comarca de Criciúma</t>
        </is>
      </c>
    </row>
    <row r="1613">
      <c r="A1613" s="40" t="inlineStr">
        <is>
          <t>5000257-15.2022.8.24.0166</t>
        </is>
      </c>
      <c r="B1613" s="40" t="inlineStr">
        <is>
          <t>Outras</t>
        </is>
      </c>
      <c r="D1613" s="67" t="inlineStr">
        <is>
          <t>Renata Francisco Becker</t>
        </is>
      </c>
      <c r="E1613" s="62" t="n">
        <v>44704</v>
      </c>
      <c r="F1613" s="67" t="inlineStr">
        <is>
          <t>vara unica</t>
        </is>
      </c>
    </row>
    <row r="1614">
      <c r="A1614" s="40" t="inlineStr">
        <is>
          <t>5010653-45.2020.4.04.7204</t>
        </is>
      </c>
      <c r="B1614" s="40" t="inlineStr">
        <is>
          <t>Outras</t>
        </is>
      </c>
      <c r="D1614" s="67" t="inlineStr">
        <is>
          <t>Renata Francisco Becker</t>
        </is>
      </c>
      <c r="E1614" s="62" t="n">
        <v>44707</v>
      </c>
      <c r="F1614" s="67" t="inlineStr">
        <is>
          <t>Juízo Substituto da 4ª VF de Criciúma</t>
        </is>
      </c>
    </row>
    <row r="1615">
      <c r="A1615" s="40" t="inlineStr">
        <is>
          <t>0600681-27.2014.8.24.0020</t>
        </is>
      </c>
      <c r="B1615" s="40" t="inlineStr">
        <is>
          <t>Outras</t>
        </is>
      </c>
      <c r="D1615" s="67" t="inlineStr">
        <is>
          <t>Pedro Victor</t>
        </is>
      </c>
      <c r="E1615" s="62" t="n">
        <v>46100</v>
      </c>
      <c r="F1615" s="67" t="inlineStr">
        <is>
          <t>5º Juízo da Vara Estadual de Direito Bancário</t>
        </is>
      </c>
    </row>
    <row r="1616">
      <c r="A1616" s="40" t="inlineStr">
        <is>
          <t>00008981820225120055</t>
        </is>
      </c>
      <c r="B1616" s="40" t="inlineStr">
        <is>
          <t>Outras</t>
        </is>
      </c>
      <c r="D1616" s="67" t="inlineStr">
        <is>
          <t>Pedro Victor</t>
        </is>
      </c>
      <c r="E1616" s="62" t="n">
        <v>44942</v>
      </c>
      <c r="F1616" s="67" t="inlineStr">
        <is>
          <t>CEJUSC-JT/Criciuma</t>
        </is>
      </c>
    </row>
    <row r="1617">
      <c r="A1617" s="40" t="inlineStr">
        <is>
          <t>0006036-89.2022.8.16.0188</t>
        </is>
      </c>
      <c r="B1617" s="40" t="inlineStr">
        <is>
          <t>Outras</t>
        </is>
      </c>
      <c r="D1617" s="67" t="inlineStr">
        <is>
          <t>Renata Francisco Becker</t>
        </is>
      </c>
      <c r="E1617" s="62" t="n">
        <v>44725</v>
      </c>
      <c r="F1617" s="67" t="inlineStr">
        <is>
          <t>2ª Vara de Sucessões de Curitiba</t>
        </is>
      </c>
    </row>
    <row r="1618">
      <c r="A1618" s="40" t="inlineStr">
        <is>
          <t>5009047-09.2020.8.24.0020</t>
        </is>
      </c>
      <c r="B1618" s="40" t="inlineStr">
        <is>
          <t>Outras</t>
        </is>
      </c>
      <c r="D1618" s="67" t="inlineStr">
        <is>
          <t>Renata Francisco Becker</t>
        </is>
      </c>
      <c r="E1618" s="62" t="n">
        <v>45022</v>
      </c>
      <c r="F1618" s="67" t="inlineStr"/>
    </row>
    <row r="1619">
      <c r="A1619" s="40" t="inlineStr">
        <is>
          <t>50166893520224047204</t>
        </is>
      </c>
      <c r="B1619" s="40" t="inlineStr">
        <is>
          <t>Outras</t>
        </is>
      </c>
      <c r="D1619" s="67" t="inlineStr">
        <is>
          <t>Renata Francisco Becker</t>
        </is>
      </c>
      <c r="E1619" s="62" t="n">
        <v>45000</v>
      </c>
      <c r="F1619" s="67" t="inlineStr"/>
    </row>
    <row r="1620">
      <c r="A1620" s="40" t="inlineStr">
        <is>
          <t>0000138-35.2023.5.12.0055</t>
        </is>
      </c>
      <c r="B1620" s="40" t="inlineStr">
        <is>
          <t>Outras</t>
        </is>
      </c>
      <c r="D1620" s="67" t="inlineStr">
        <is>
          <t>Renata Francisco Becker</t>
        </is>
      </c>
      <c r="E1620" s="62" t="n">
        <v>44987</v>
      </c>
      <c r="F1620" s="67" t="inlineStr"/>
    </row>
    <row r="1621">
      <c r="A1621" s="40" t="n"/>
      <c r="B1621" s="40" t="inlineStr">
        <is>
          <t>Outras</t>
        </is>
      </c>
      <c r="D1621" s="67" t="inlineStr">
        <is>
          <t>Pedro Victor</t>
        </is>
      </c>
      <c r="E1621" s="62" t="n">
        <v>44998</v>
      </c>
      <c r="F1621" s="67" t="inlineStr"/>
    </row>
    <row r="1622">
      <c r="A1622" s="40" t="inlineStr">
        <is>
          <t>0301401-80.2015.8.24.0069</t>
        </is>
      </c>
      <c r="B1622" s="40" t="inlineStr">
        <is>
          <t>Outras</t>
        </is>
      </c>
      <c r="D1622" s="67" t="inlineStr">
        <is>
          <t>Renata Francisco Becker</t>
        </is>
      </c>
      <c r="E1622" s="62" t="n">
        <v>44701</v>
      </c>
      <c r="F1622" s="67" t="inlineStr">
        <is>
          <t>1ª Vara</t>
        </is>
      </c>
    </row>
    <row r="1623">
      <c r="A1623" s="40" t="n"/>
      <c r="B1623" s="40" t="inlineStr">
        <is>
          <t>Outras</t>
        </is>
      </c>
      <c r="D1623" s="67" t="inlineStr">
        <is>
          <t>Pedro Victor</t>
        </is>
      </c>
      <c r="E1623" s="62" t="n">
        <v>44995</v>
      </c>
      <c r="F1623" s="67" t="inlineStr"/>
    </row>
    <row r="1624">
      <c r="A1624" s="40" t="inlineStr">
        <is>
          <t>5020369-55.2022.8.24.0020</t>
        </is>
      </c>
      <c r="B1624" s="40" t="inlineStr">
        <is>
          <t>Outras</t>
        </is>
      </c>
      <c r="D1624" s="67" t="inlineStr">
        <is>
          <t>Renata Francisco Becker</t>
        </is>
      </c>
      <c r="E1624" s="62" t="n">
        <v>44866</v>
      </c>
      <c r="F1624" s="67" t="inlineStr">
        <is>
          <t>Juízo da 2ª Vara Cível da Comarca de Criciúma</t>
        </is>
      </c>
    </row>
    <row r="1625">
      <c r="A1625" s="40" t="inlineStr">
        <is>
          <t>5006405-05.2021.8.24.0028</t>
        </is>
      </c>
      <c r="B1625" s="40" t="inlineStr">
        <is>
          <t>Outras</t>
        </is>
      </c>
      <c r="D1625" s="67" t="inlineStr">
        <is>
          <t>Renata Francisco Becker</t>
        </is>
      </c>
      <c r="E1625" s="62" t="n">
        <v>44701</v>
      </c>
      <c r="F1625" s="67" t="inlineStr">
        <is>
          <t>Juizo Da 1ª Vara Da Comarca De Icara</t>
        </is>
      </c>
    </row>
    <row r="1626">
      <c r="A1626" s="40" t="inlineStr">
        <is>
          <t>5002909-81.2022.8.24.0076</t>
        </is>
      </c>
      <c r="B1626" s="40" t="inlineStr">
        <is>
          <t>Outras</t>
        </is>
      </c>
      <c r="D1626" s="67" t="inlineStr">
        <is>
          <t>Renata Francisco Becker</t>
        </is>
      </c>
      <c r="E1626" s="62" t="n">
        <v>44893</v>
      </c>
      <c r="F1626" s="67" t="inlineStr">
        <is>
          <t>Juízo da Vara Única da Comarca de Turvo</t>
        </is>
      </c>
    </row>
    <row r="1627">
      <c r="A1627" s="40" t="inlineStr">
        <is>
          <t>0000588-96.2022.5.12.0027</t>
        </is>
      </c>
      <c r="B1627" s="40" t="inlineStr">
        <is>
          <t>Outras</t>
        </is>
      </c>
      <c r="D1627" s="67" t="inlineStr">
        <is>
          <t>Renata Francisco Becker</t>
        </is>
      </c>
      <c r="E1627" s="62" t="n">
        <v>44943</v>
      </c>
      <c r="F1627" s="67" t="inlineStr">
        <is>
          <t>2ª VARA DO TRABALHO DE CRICIÚMA</t>
        </is>
      </c>
    </row>
    <row r="1628">
      <c r="A1628" s="40" t="n"/>
      <c r="B1628" s="40" t="inlineStr">
        <is>
          <t>Outras</t>
        </is>
      </c>
      <c r="D1628" s="67" t="inlineStr">
        <is>
          <t>Pedro Victor</t>
        </is>
      </c>
      <c r="E1628" s="62" t="n">
        <v>44827</v>
      </c>
      <c r="F1628" s="67" t="inlineStr"/>
    </row>
    <row r="1629">
      <c r="A1629" s="40" t="inlineStr">
        <is>
          <t>5012461-10.2021.8.24.0075</t>
        </is>
      </c>
      <c r="B1629" s="40" t="inlineStr">
        <is>
          <t>Outras</t>
        </is>
      </c>
      <c r="D1629" s="67" t="inlineStr">
        <is>
          <t>Renata Francisco Becker</t>
        </is>
      </c>
      <c r="E1629" s="62" t="n">
        <v>44701</v>
      </c>
      <c r="F1629" s="67" t="inlineStr">
        <is>
          <t>Juizo Do Juizado Especial Civel Da Comarca De Tubarao</t>
        </is>
      </c>
    </row>
    <row r="1630">
      <c r="A1630" s="40" t="inlineStr">
        <is>
          <t>5002080-40.2023.8.24.0020</t>
        </is>
      </c>
      <c r="B1630" s="40" t="inlineStr">
        <is>
          <t>Outras</t>
        </is>
      </c>
      <c r="D1630" s="67" t="inlineStr">
        <is>
          <t>Renata Francisco Becker</t>
        </is>
      </c>
      <c r="E1630" s="62" t="n">
        <v>44974</v>
      </c>
      <c r="F1630" s="67" t="inlineStr"/>
    </row>
    <row r="1631">
      <c r="A1631" s="40" t="inlineStr">
        <is>
          <t>0309859-68.2017.8.24.0020</t>
        </is>
      </c>
      <c r="B1631" s="40" t="inlineStr">
        <is>
          <t>Outras</t>
        </is>
      </c>
      <c r="D1631" s="67" t="inlineStr">
        <is>
          <t>Renata Francisco Becker</t>
        </is>
      </c>
      <c r="E1631" s="62" t="n">
        <v>44893</v>
      </c>
      <c r="F1631" s="67" t="inlineStr">
        <is>
          <t>Juízo da 3ª Vara Cível da Comarca de Criciúma</t>
        </is>
      </c>
    </row>
    <row r="1632">
      <c r="A1632" s="40" t="inlineStr">
        <is>
          <t>5021608-31.2021.8.24.0020</t>
        </is>
      </c>
      <c r="B1632" s="40" t="inlineStr">
        <is>
          <t>Outras</t>
        </is>
      </c>
      <c r="D1632" s="67" t="inlineStr">
        <is>
          <t>Renata Francisco Becker</t>
        </is>
      </c>
      <c r="E1632" s="62" t="n">
        <v>44701</v>
      </c>
      <c r="F1632" s="67" t="inlineStr">
        <is>
          <t>Juizo Da 2ª Vara Civel Da Comarca De Criciuma</t>
        </is>
      </c>
    </row>
    <row r="1633">
      <c r="A1633" s="40" t="inlineStr">
        <is>
          <t>5005122-04.2022.8.21.0057</t>
        </is>
      </c>
      <c r="B1633" s="40" t="inlineStr">
        <is>
          <t>Outras</t>
        </is>
      </c>
      <c r="D1633" s="67" t="inlineStr">
        <is>
          <t>Renata Francisco Becker</t>
        </is>
      </c>
      <c r="E1633" s="62" t="n">
        <v>44865</v>
      </c>
    </row>
    <row r="1634">
      <c r="A1634" s="40" t="inlineStr">
        <is>
          <t>5004790-16.2017.4.04.7204</t>
        </is>
      </c>
      <c r="B1634" s="40" t="inlineStr">
        <is>
          <t>Outras</t>
        </is>
      </c>
      <c r="D1634" s="67" t="inlineStr">
        <is>
          <t>Pedro Victor</t>
        </is>
      </c>
      <c r="E1634" s="62" t="n">
        <v>44980</v>
      </c>
      <c r="F1634" s="67" t="inlineStr">
        <is>
          <t>Juízo Federal da 4ª VF de Criciúma</t>
        </is>
      </c>
    </row>
    <row r="1635">
      <c r="A1635" s="40" t="inlineStr">
        <is>
          <t>0000158-96.2022.5.12.0043</t>
        </is>
      </c>
      <c r="B1635" s="40" t="inlineStr">
        <is>
          <t>Outras</t>
        </is>
      </c>
      <c r="D1635" s="67" t="inlineStr">
        <is>
          <t>Renata Francisco Becker</t>
        </is>
      </c>
      <c r="E1635" s="62" t="n">
        <v>44703</v>
      </c>
      <c r="F1635" s="67" t="inlineStr">
        <is>
          <t>VARA DO TRABALHO DE IMBITUBA</t>
        </is>
      </c>
    </row>
    <row r="1636">
      <c r="A1636" s="40" t="inlineStr">
        <is>
          <t>5029785-47.2022.8.24.0020</t>
        </is>
      </c>
      <c r="B1636" s="40" t="inlineStr">
        <is>
          <t>Outras</t>
        </is>
      </c>
      <c r="D1636" s="67" t="inlineStr">
        <is>
          <t>Renata Francisco Becker</t>
        </is>
      </c>
      <c r="E1636" s="62" t="n">
        <v>44943</v>
      </c>
      <c r="F1636" s="67" t="inlineStr">
        <is>
          <t>Juízo do Juizado Especial Cível da Comarca de Criciúma</t>
        </is>
      </c>
    </row>
    <row r="1637">
      <c r="A1637" s="40" t="inlineStr">
        <is>
          <t>5014766-35.2021.8.24.0020</t>
        </is>
      </c>
      <c r="B1637" s="40" t="inlineStr">
        <is>
          <t>Outras</t>
        </is>
      </c>
      <c r="D1637" s="67" t="inlineStr">
        <is>
          <t>Renata Francisco Becker</t>
        </is>
      </c>
      <c r="E1637" s="62" t="n">
        <v>44701</v>
      </c>
      <c r="F1637" s="67" t="inlineStr">
        <is>
          <t>Juizo Do Juizado Especial Civel Da Comarca De Criciuma</t>
        </is>
      </c>
    </row>
    <row r="1638">
      <c r="A1638" s="40" t="inlineStr">
        <is>
          <t>5013763-86.2019.4.04.7204</t>
        </is>
      </c>
      <c r="B1638" s="40" t="inlineStr">
        <is>
          <t>Outras</t>
        </is>
      </c>
      <c r="D1638" s="67" t="inlineStr">
        <is>
          <t>Renata Francisco Becker</t>
        </is>
      </c>
      <c r="E1638" s="62" t="n">
        <v>44958</v>
      </c>
      <c r="F1638" s="67" t="inlineStr"/>
    </row>
    <row r="1639">
      <c r="A1639" s="40" t="inlineStr">
        <is>
          <t>5012642-16.2020.8.24.0020</t>
        </is>
      </c>
      <c r="B1639" s="40" t="inlineStr">
        <is>
          <t>Outras</t>
        </is>
      </c>
      <c r="D1639" s="67" t="inlineStr">
        <is>
          <t>Renata Francisco Becker</t>
        </is>
      </c>
      <c r="E1639" s="62" t="n">
        <v>44701</v>
      </c>
      <c r="F1639" s="67" t="inlineStr">
        <is>
          <t>Juizo Do Juizado Especial Civel Da Comarca De Criciuma</t>
        </is>
      </c>
    </row>
    <row r="1640">
      <c r="A1640" s="40" t="inlineStr">
        <is>
          <t>0309621-49.2017.8.24.0020</t>
        </is>
      </c>
      <c r="B1640" s="40" t="inlineStr">
        <is>
          <t>Outras</t>
        </is>
      </c>
      <c r="D1640" s="67" t="inlineStr">
        <is>
          <t>Renata Francisco Becker</t>
        </is>
      </c>
      <c r="E1640" s="62" t="n">
        <v>44972</v>
      </c>
      <c r="F1640" s="67" t="inlineStr">
        <is>
          <t>Gab. 02 - 6ª Câmara de Direito Civil</t>
        </is>
      </c>
    </row>
    <row r="1641">
      <c r="A1641" s="40" t="inlineStr">
        <is>
          <t>00006297620225120055</t>
        </is>
      </c>
      <c r="B1641" s="40" t="inlineStr">
        <is>
          <t>Outras</t>
        </is>
      </c>
      <c r="D1641" s="67" t="inlineStr">
        <is>
          <t>Renata Francisco Becker</t>
        </is>
      </c>
      <c r="E1641" s="62" t="n">
        <v>44818</v>
      </c>
      <c r="F1641" s="67" t="inlineStr">
        <is>
          <t>4ª VARA DO TRABALHO DE CRICIÚMA</t>
        </is>
      </c>
    </row>
    <row r="1642">
      <c r="A1642" s="40" t="inlineStr">
        <is>
          <t>0001450-52.2016.5.12.0003</t>
        </is>
      </c>
      <c r="B1642" s="40" t="inlineStr">
        <is>
          <t>Outras</t>
        </is>
      </c>
      <c r="D1642" s="67" t="inlineStr">
        <is>
          <t>Renata Francisco Becker</t>
        </is>
      </c>
      <c r="E1642" s="62" t="n">
        <v>44701</v>
      </c>
      <c r="F1642" s="67" t="inlineStr">
        <is>
          <t>1ª Vara Do Trabalho De Criciuma</t>
        </is>
      </c>
    </row>
    <row r="1643">
      <c r="A1643" s="40" t="inlineStr">
        <is>
          <t>0050047-37.2012.8.16.0001</t>
        </is>
      </c>
      <c r="B1643" s="40" t="inlineStr">
        <is>
          <t>Outras</t>
        </is>
      </c>
      <c r="D1643" s="67" t="inlineStr">
        <is>
          <t>Renata Francisco Becker</t>
        </is>
      </c>
      <c r="E1643" s="62" t="n">
        <v>44781</v>
      </c>
      <c r="F1643" s="67" t="inlineStr">
        <is>
          <t>16ª Vara Cível de Curitiba</t>
        </is>
      </c>
    </row>
    <row r="1644">
      <c r="A1644" s="40" t="inlineStr">
        <is>
          <t>5007139-53.2021.8.24.0028</t>
        </is>
      </c>
      <c r="B1644" s="40" t="inlineStr">
        <is>
          <t>Outras</t>
        </is>
      </c>
      <c r="D1644" s="67" t="inlineStr">
        <is>
          <t>Renata Francisco Becker</t>
        </is>
      </c>
      <c r="E1644" s="62" t="n">
        <v>44701</v>
      </c>
      <c r="F1644" s="67" t="inlineStr">
        <is>
          <t>Juizo Da 1ª Vara Da Comarca De Icara</t>
        </is>
      </c>
    </row>
    <row r="1645">
      <c r="A1645" s="40" t="inlineStr">
        <is>
          <t>5003711-12.2021.8.24.0045</t>
        </is>
      </c>
      <c r="B1645" s="40" t="inlineStr">
        <is>
          <t>Outras</t>
        </is>
      </c>
      <c r="D1645" s="67" t="inlineStr">
        <is>
          <t>Renata Francisco Becker</t>
        </is>
      </c>
      <c r="E1645" s="62" t="n">
        <v>44774</v>
      </c>
      <c r="F1645" s="67" t="inlineStr"/>
    </row>
    <row r="1646">
      <c r="A1646" s="40" t="inlineStr">
        <is>
          <t>5004334-38.2020.8.24.0069</t>
        </is>
      </c>
      <c r="B1646" s="40" t="inlineStr">
        <is>
          <t>Outras</t>
        </is>
      </c>
      <c r="D1646" s="67" t="inlineStr">
        <is>
          <t>Renata Francisco Becker</t>
        </is>
      </c>
      <c r="E1646" s="62" t="n">
        <v>44701</v>
      </c>
      <c r="F1646" s="67" t="inlineStr">
        <is>
          <t>Juizo Da 1ª Vara Da Comarca De Sombrio</t>
        </is>
      </c>
    </row>
    <row r="1647">
      <c r="A1647" s="40" t="inlineStr">
        <is>
          <t>5001603-48.2020.8.24.0076</t>
        </is>
      </c>
      <c r="B1647" s="40" t="inlineStr">
        <is>
          <t>Outras</t>
        </is>
      </c>
      <c r="D1647" s="67" t="inlineStr">
        <is>
          <t>Renata Francisco Becker</t>
        </is>
      </c>
      <c r="E1647" s="62" t="n">
        <v>44774</v>
      </c>
      <c r="F1647" s="67" t="inlineStr"/>
    </row>
    <row r="1648">
      <c r="A1648" s="40" t="inlineStr">
        <is>
          <t>5002358-05.2021.8.24.0087</t>
        </is>
      </c>
      <c r="B1648" s="40" t="inlineStr">
        <is>
          <t>Outras</t>
        </is>
      </c>
      <c r="D1648" s="67" t="inlineStr">
        <is>
          <t>Renata Francisco Becker</t>
        </is>
      </c>
      <c r="E1648" s="62" t="n">
        <v>44874</v>
      </c>
      <c r="F1648" s="67" t="inlineStr">
        <is>
          <t>Juízo da Vara Única da Comarca de Lauro Müller</t>
        </is>
      </c>
    </row>
    <row r="1649">
      <c r="A1649" s="40" t="inlineStr">
        <is>
          <t>5001773-83.2022.8.24.0000</t>
        </is>
      </c>
      <c r="B1649" s="40" t="inlineStr">
        <is>
          <t>Outras</t>
        </is>
      </c>
      <c r="D1649" s="67" t="inlineStr">
        <is>
          <t>Renata Francisco Becker</t>
        </is>
      </c>
      <c r="E1649" s="62" t="n">
        <v>44866</v>
      </c>
      <c r="F1649" s="67" t="inlineStr"/>
    </row>
    <row r="1650">
      <c r="A1650" s="40" t="inlineStr">
        <is>
          <t>50466033720228240000</t>
        </is>
      </c>
      <c r="B1650" s="40" t="inlineStr">
        <is>
          <t>Outras</t>
        </is>
      </c>
      <c r="D1650" s="67" t="inlineStr">
        <is>
          <t>Renata Francisco Becker</t>
        </is>
      </c>
      <c r="E1650" s="62" t="n">
        <v>44831</v>
      </c>
      <c r="F1650" s="67" t="inlineStr"/>
    </row>
    <row r="1651">
      <c r="A1651" s="40" t="inlineStr">
        <is>
          <t>5006463-03.2019.8.24.0020</t>
        </is>
      </c>
      <c r="B1651" s="40" t="inlineStr">
        <is>
          <t>Outras</t>
        </is>
      </c>
      <c r="D1651" s="67" t="inlineStr">
        <is>
          <t>Renata Francisco Becker</t>
        </is>
      </c>
      <c r="E1651" s="62" t="n">
        <v>44701</v>
      </c>
      <c r="F1651" s="67" t="inlineStr">
        <is>
          <t>Juizo Da Juizado Especial Civel Da Comarca De Criciuma</t>
        </is>
      </c>
    </row>
    <row r="1652">
      <c r="A1652" s="40" t="inlineStr">
        <is>
          <t>5006656-57.2020.8.24.0028</t>
        </is>
      </c>
      <c r="B1652" s="40" t="inlineStr">
        <is>
          <t>Outras</t>
        </is>
      </c>
      <c r="D1652" s="67" t="inlineStr">
        <is>
          <t>Renata Francisco Becker</t>
        </is>
      </c>
      <c r="E1652" s="62" t="n">
        <v>44701</v>
      </c>
      <c r="F1652" s="67" t="inlineStr">
        <is>
          <t>Juizo Da 1ª Vara Da Comarca De Icara</t>
        </is>
      </c>
    </row>
    <row r="1653">
      <c r="A1653" s="40" t="inlineStr">
        <is>
          <t>0301416-70.2018.8.24.0028</t>
        </is>
      </c>
      <c r="B1653" s="40" t="inlineStr">
        <is>
          <t>Outras</t>
        </is>
      </c>
      <c r="D1653" s="67" t="inlineStr">
        <is>
          <t>Renata Francisco Becker</t>
        </is>
      </c>
      <c r="E1653" s="62" t="n">
        <v>44701</v>
      </c>
      <c r="F1653" s="67" t="inlineStr">
        <is>
          <t>1ª Vara</t>
        </is>
      </c>
    </row>
    <row r="1654">
      <c r="A1654" s="40" t="n"/>
      <c r="B1654" s="40" t="inlineStr">
        <is>
          <t>Outras</t>
        </is>
      </c>
      <c r="D1654" s="67" t="inlineStr">
        <is>
          <t>Pedro Victor</t>
        </is>
      </c>
      <c r="E1654" s="62" t="n">
        <v>44852</v>
      </c>
      <c r="F1654" s="67" t="inlineStr"/>
    </row>
    <row r="1655">
      <c r="A1655" s="40" t="inlineStr">
        <is>
          <t>0304045-12.2016.8.24.0020</t>
        </is>
      </c>
      <c r="B1655" s="40" t="inlineStr">
        <is>
          <t>Outras</t>
        </is>
      </c>
      <c r="D1655" s="67" t="inlineStr">
        <is>
          <t>Renata Francisco Becker</t>
        </is>
      </c>
      <c r="E1655" s="62" t="n">
        <v>44847</v>
      </c>
      <c r="F1655" s="67" t="inlineStr"/>
    </row>
    <row r="1656">
      <c r="A1656" s="40" t="inlineStr">
        <is>
          <t>5004204-30.2022.8.24.0020</t>
        </is>
      </c>
      <c r="B1656" s="40" t="inlineStr">
        <is>
          <t>Outras</t>
        </is>
      </c>
      <c r="D1656" s="67" t="inlineStr">
        <is>
          <t>Renata Francisco Becker</t>
        </is>
      </c>
      <c r="E1656" s="62" t="n">
        <v>44701</v>
      </c>
      <c r="F1656" s="67" t="inlineStr">
        <is>
          <t>Juizo Da 1ª Vara Da Fazenda Publica Da Comarca De Criciuma</t>
        </is>
      </c>
    </row>
    <row r="1657">
      <c r="A1657" s="40" t="inlineStr">
        <is>
          <t>5006140-27.2021.8.24.0020</t>
        </is>
      </c>
      <c r="B1657" s="40" t="inlineStr">
        <is>
          <t>Outras</t>
        </is>
      </c>
      <c r="D1657" s="67" t="inlineStr">
        <is>
          <t>Renata Francisco Becker</t>
        </is>
      </c>
      <c r="E1657" s="62" t="n">
        <v>44701</v>
      </c>
      <c r="F1657" s="67" t="inlineStr">
        <is>
          <t>Juizo Da 1ª Vara Da Fazenda Publica Da Comarca De Criciuma</t>
        </is>
      </c>
    </row>
    <row r="1658">
      <c r="A1658" s="40" t="inlineStr">
        <is>
          <t>5002608-16.2019.8.24.0020</t>
        </is>
      </c>
      <c r="B1658" s="40" t="inlineStr">
        <is>
          <t>Outras</t>
        </is>
      </c>
      <c r="D1658" s="67" t="inlineStr">
        <is>
          <t>Renata Francisco Becker</t>
        </is>
      </c>
      <c r="E1658" s="62" t="n">
        <v>44701</v>
      </c>
      <c r="F1658" s="67" t="inlineStr">
        <is>
          <t>Juizo Da 3ª Vara Civel Da Comarca De Criciuma</t>
        </is>
      </c>
    </row>
    <row r="1659">
      <c r="A1659" s="40" t="inlineStr">
        <is>
          <t>5012123-70.2022.8.24.0020</t>
        </is>
      </c>
      <c r="B1659" s="40" t="inlineStr">
        <is>
          <t>Outras</t>
        </is>
      </c>
      <c r="D1659" s="67" t="inlineStr">
        <is>
          <t>Renata Francisco Becker</t>
        </is>
      </c>
      <c r="E1659" s="62" t="n">
        <v>44727</v>
      </c>
      <c r="F1659" s="67" t="inlineStr">
        <is>
          <t>Juízo da 1ª Vara da Fazenda Pública da Comarca de Criciúma</t>
        </is>
      </c>
    </row>
    <row r="1660">
      <c r="A1660" s="40" t="inlineStr">
        <is>
          <t>5002485-57.2020.8.24.0028</t>
        </is>
      </c>
      <c r="B1660" s="40" t="inlineStr">
        <is>
          <t>Outras</t>
        </is>
      </c>
      <c r="D1660" s="67" t="inlineStr">
        <is>
          <t>Renata Francisco Becker</t>
        </is>
      </c>
      <c r="E1660" s="62" t="n">
        <v>44701</v>
      </c>
      <c r="F1660" s="67" t="inlineStr">
        <is>
          <t>Juizo Da 1ª Vara Da Comarca De Icara</t>
        </is>
      </c>
    </row>
    <row r="1661">
      <c r="A1661" s="40" t="inlineStr">
        <is>
          <t>5002376-96.2022.8.24.0020</t>
        </is>
      </c>
      <c r="B1661" s="40" t="inlineStr">
        <is>
          <t>Outras</t>
        </is>
      </c>
      <c r="D1661" s="67" t="inlineStr">
        <is>
          <t>Renata Francisco Becker</t>
        </is>
      </c>
      <c r="E1661" s="62" t="n">
        <v>44701</v>
      </c>
      <c r="F1661" s="67" t="inlineStr">
        <is>
          <t>Juizo Do Juizado Especial Civel Da Comarca De Criciuma</t>
        </is>
      </c>
    </row>
    <row r="1662">
      <c r="A1662" s="40" t="inlineStr">
        <is>
          <t>0004310-70.2020.8.16.0117</t>
        </is>
      </c>
      <c r="B1662" s="40" t="inlineStr">
        <is>
          <t>Outras</t>
        </is>
      </c>
      <c r="D1662" s="67" t="inlineStr">
        <is>
          <t>Renata Francisco Becker</t>
        </is>
      </c>
      <c r="E1662" s="62" t="n">
        <v>44809</v>
      </c>
      <c r="F1662" s="67" t="inlineStr">
        <is>
          <t>Juizado Especial Cível de Medianeira</t>
        </is>
      </c>
    </row>
    <row r="1663">
      <c r="A1663" s="40" t="inlineStr">
        <is>
          <t>00005062120215120053</t>
        </is>
      </c>
      <c r="B1663" s="40" t="inlineStr">
        <is>
          <t>Outras</t>
        </is>
      </c>
      <c r="D1663" s="67" t="inlineStr">
        <is>
          <t>Pedro Victor</t>
        </is>
      </c>
      <c r="E1663" s="62" t="n">
        <v>44749</v>
      </c>
      <c r="F1663" s="67" t="inlineStr">
        <is>
          <t>3ª VARA DO TRABALHO DE CRICIÚMA</t>
        </is>
      </c>
    </row>
    <row r="1664">
      <c r="A1664" s="40" t="inlineStr">
        <is>
          <t>5000699-51.2022.8.24.0175</t>
        </is>
      </c>
      <c r="B1664" s="40" t="inlineStr">
        <is>
          <t>Outras</t>
        </is>
      </c>
      <c r="D1664" s="67" t="inlineStr">
        <is>
          <t>Renata Francisco Becker</t>
        </is>
      </c>
      <c r="E1664" s="62" t="n">
        <v>44792</v>
      </c>
      <c r="F1664" s="67" t="inlineStr">
        <is>
          <t>Juízo da Vara Única da Comarca de Meleiro</t>
        </is>
      </c>
    </row>
    <row r="1665">
      <c r="A1665" s="40" t="inlineStr">
        <is>
          <t>5000699-51.2022.8.24.0175</t>
        </is>
      </c>
      <c r="B1665" s="40" t="inlineStr">
        <is>
          <t>Outras</t>
        </is>
      </c>
      <c r="D1665" s="67" t="inlineStr">
        <is>
          <t>Renata Francisco Becker</t>
        </is>
      </c>
      <c r="E1665" s="62" t="n">
        <v>44792</v>
      </c>
      <c r="F1665" s="67" t="inlineStr">
        <is>
          <t>Juízo da Vara Única da Comarca de Meleiro</t>
        </is>
      </c>
    </row>
    <row r="1666">
      <c r="A1666" s="40" t="inlineStr">
        <is>
          <t>0900509-36.2019.8.24.0020</t>
        </is>
      </c>
      <c r="B1666" s="40" t="inlineStr">
        <is>
          <t>Outras</t>
        </is>
      </c>
      <c r="D1666" s="67" t="inlineStr">
        <is>
          <t>Renata Francisco Becker</t>
        </is>
      </c>
      <c r="E1666" s="62" t="n">
        <v>44701</v>
      </c>
      <c r="F1666" s="67" t="inlineStr">
        <is>
          <t>Juizo Da Unidade Regional De Execucoes Fiscais Municipais E Estaduais Da Comarca De Florianopolis</t>
        </is>
      </c>
    </row>
    <row r="1667">
      <c r="A1667" s="40" t="n"/>
      <c r="B1667" s="40" t="inlineStr">
        <is>
          <t>Outras</t>
        </is>
      </c>
      <c r="D1667" s="67" t="inlineStr">
        <is>
          <t>Renata Francisco Becker</t>
        </is>
      </c>
      <c r="E1667" s="62" t="n">
        <v>44798</v>
      </c>
      <c r="F1667" s="67" t="inlineStr"/>
    </row>
    <row r="1668">
      <c r="A1668" s="40" t="inlineStr">
        <is>
          <t>5014625-79.2022.8.24.0020</t>
        </is>
      </c>
      <c r="B1668" s="40" t="inlineStr">
        <is>
          <t>Outras</t>
        </is>
      </c>
      <c r="D1668" s="67" t="inlineStr">
        <is>
          <t>Renata Francisco Becker</t>
        </is>
      </c>
      <c r="E1668" s="62" t="n">
        <v>44774</v>
      </c>
      <c r="F1668" s="67" t="inlineStr"/>
    </row>
    <row r="1669">
      <c r="A1669" s="40" t="inlineStr">
        <is>
          <t>0000225-25.2022.5.12.0055</t>
        </is>
      </c>
      <c r="B1669" s="40" t="inlineStr">
        <is>
          <t>Outras</t>
        </is>
      </c>
      <c r="D1669" s="67" t="inlineStr">
        <is>
          <t>Renata Francisco Becker</t>
        </is>
      </c>
      <c r="E1669" s="62" t="n">
        <v>44735</v>
      </c>
      <c r="F1669" s="67" t="inlineStr"/>
    </row>
    <row r="1670">
      <c r="A1670" s="40" t="inlineStr">
        <is>
          <t>5022391-32.2022.8.24.0038</t>
        </is>
      </c>
      <c r="B1670" s="40" t="inlineStr">
        <is>
          <t>Outras</t>
        </is>
      </c>
      <c r="D1670" s="67" t="inlineStr">
        <is>
          <t>Renata Francisco Becker</t>
        </is>
      </c>
      <c r="E1670" s="62" t="n">
        <v>44712</v>
      </c>
      <c r="F1670" s="67" t="inlineStr">
        <is>
          <t>Juízo da 2º Juizado Especial Cível da Comarca de Joinville</t>
        </is>
      </c>
    </row>
    <row r="1671">
      <c r="A1671" s="40" t="inlineStr">
        <is>
          <t>5000458-41.2021.8.24.0166</t>
        </is>
      </c>
      <c r="B1671" s="40" t="inlineStr">
        <is>
          <t>Outras</t>
        </is>
      </c>
      <c r="D1671" s="67" t="inlineStr">
        <is>
          <t>Renata Francisco Becker</t>
        </is>
      </c>
      <c r="E1671" s="62" t="n">
        <v>44701</v>
      </c>
      <c r="F1671" s="67" t="inlineStr">
        <is>
          <t>Juizo Da Vara Unica Da Comarca De Forquilhinha</t>
        </is>
      </c>
    </row>
    <row r="1672">
      <c r="A1672" s="40" t="inlineStr">
        <is>
          <t>5013934-02.2021.8.24.0020</t>
        </is>
      </c>
      <c r="B1672" s="40" t="inlineStr">
        <is>
          <t>Outras</t>
        </is>
      </c>
      <c r="D1672" s="67" t="inlineStr">
        <is>
          <t>Renata Francisco Becker</t>
        </is>
      </c>
      <c r="E1672" s="62" t="n">
        <v>44701</v>
      </c>
      <c r="F1672" s="67" t="inlineStr">
        <is>
          <t>Juizo Da 2ª Vara Da Fazenda Publica Da Comarca De Criciuma</t>
        </is>
      </c>
    </row>
    <row r="1673">
      <c r="A1673" s="40" t="n"/>
      <c r="B1673" s="40" t="inlineStr">
        <is>
          <t>Outras</t>
        </is>
      </c>
      <c r="D1673" s="67" t="inlineStr">
        <is>
          <t>Pedro Victor</t>
        </is>
      </c>
      <c r="E1673" s="62" t="n">
        <v>44764</v>
      </c>
    </row>
    <row r="1674">
      <c r="A1674" s="40" t="n"/>
      <c r="B1674" s="40" t="inlineStr">
        <is>
          <t>Outras</t>
        </is>
      </c>
      <c r="D1674" s="67" t="inlineStr">
        <is>
          <t>Pedro Victor</t>
        </is>
      </c>
      <c r="E1674" s="62" t="n">
        <v>44763</v>
      </c>
    </row>
    <row r="1675">
      <c r="A1675" s="40" t="inlineStr">
        <is>
          <t>0302553-14.2018.8.24.0020</t>
        </is>
      </c>
      <c r="B1675" s="40" t="inlineStr">
        <is>
          <t>Outras</t>
        </is>
      </c>
      <c r="D1675" s="67" t="inlineStr">
        <is>
          <t>Renata Francisco Becker</t>
        </is>
      </c>
      <c r="E1675" s="62" t="n">
        <v>44701</v>
      </c>
      <c r="F1675" s="67" t="inlineStr">
        <is>
          <t>1ª Vara Da Fazenda</t>
        </is>
      </c>
    </row>
    <row r="1676">
      <c r="A1676" s="40" t="inlineStr">
        <is>
          <t>0003436-73.2014.8.24.0020</t>
        </is>
      </c>
      <c r="B1676" s="40" t="inlineStr">
        <is>
          <t>Outras</t>
        </is>
      </c>
      <c r="D1676" s="67" t="inlineStr">
        <is>
          <t>Renata Francisco Becker</t>
        </is>
      </c>
      <c r="E1676" s="62" t="n">
        <v>44746</v>
      </c>
      <c r="F1676" s="67" t="inlineStr">
        <is>
          <t>Juízo da 2ª Vara da Fazenda Pública da Comarca de Criciúma</t>
        </is>
      </c>
    </row>
    <row r="1677">
      <c r="A1677" s="40" t="inlineStr">
        <is>
          <t>0000230-53.2022.5.12.0053</t>
        </is>
      </c>
      <c r="B1677" s="40" t="inlineStr">
        <is>
          <t>Outras</t>
        </is>
      </c>
      <c r="D1677" s="67" t="inlineStr">
        <is>
          <t>Renata Francisco Becker</t>
        </is>
      </c>
      <c r="E1677" s="62" t="n">
        <v>44735</v>
      </c>
      <c r="F1677" s="67" t="inlineStr"/>
    </row>
    <row r="1678">
      <c r="A1678" s="40" t="inlineStr">
        <is>
          <t>00002252520225120055</t>
        </is>
      </c>
      <c r="B1678" s="40" t="inlineStr">
        <is>
          <t>Outras</t>
        </is>
      </c>
      <c r="D1678" s="67" t="inlineStr">
        <is>
          <t>Pedro Victor</t>
        </is>
      </c>
      <c r="E1678" s="62" t="n">
        <v>44735</v>
      </c>
      <c r="F1678" s="67" t="inlineStr">
        <is>
          <t>CEJUSC-JT/Criciuma</t>
        </is>
      </c>
    </row>
    <row r="1679">
      <c r="A1679" s="40" t="inlineStr">
        <is>
          <t>5009773-12.2022.8.24.0020</t>
        </is>
      </c>
      <c r="B1679" s="40" t="inlineStr">
        <is>
          <t>Outras</t>
        </is>
      </c>
      <c r="D1679" s="67" t="inlineStr">
        <is>
          <t>Renata Francisco Becker</t>
        </is>
      </c>
      <c r="E1679" s="62" t="n">
        <v>44701</v>
      </c>
      <c r="F1679" s="67" t="inlineStr">
        <is>
          <t>Juizo Do Juizado Especial Civel Da Comarca De Criciuma</t>
        </is>
      </c>
    </row>
    <row r="1680">
      <c r="A1680" s="40" t="inlineStr">
        <is>
          <t>5021487-37.2020.8.24.0020</t>
        </is>
      </c>
      <c r="B1680" s="40" t="inlineStr">
        <is>
          <t>Outras</t>
        </is>
      </c>
      <c r="D1680" s="67" t="inlineStr">
        <is>
          <t>Renata Francisco Becker</t>
        </is>
      </c>
      <c r="E1680" s="62" t="n">
        <v>44701</v>
      </c>
      <c r="F1680" s="67" t="inlineStr">
        <is>
          <t>Juizo Da 1ª Vara Da Fazenda Publica Da Comarca De Criciuma</t>
        </is>
      </c>
    </row>
    <row r="1681">
      <c r="A1681" s="40" t="inlineStr">
        <is>
          <t>5000903-75.2022.8.24.0020</t>
        </is>
      </c>
      <c r="B1681" s="40" t="inlineStr">
        <is>
          <t>Outras</t>
        </is>
      </c>
      <c r="D1681" s="67" t="inlineStr">
        <is>
          <t>Renata Francisco Becker</t>
        </is>
      </c>
      <c r="E1681" s="62" t="n">
        <v>44701</v>
      </c>
      <c r="F1681" s="67" t="inlineStr">
        <is>
          <t>Juizo Da 1ª Vara Da Fazenda Publica Da Comarca De Criciuma</t>
        </is>
      </c>
    </row>
    <row r="1682">
      <c r="A1682" s="40" t="inlineStr">
        <is>
          <t>5002382-06.2022.8.24.0020</t>
        </is>
      </c>
      <c r="B1682" s="40" t="inlineStr">
        <is>
          <t>Outras</t>
        </is>
      </c>
      <c r="D1682" s="67" t="inlineStr">
        <is>
          <t>Renata Francisco Becker</t>
        </is>
      </c>
      <c r="E1682" s="62" t="n">
        <v>44701</v>
      </c>
      <c r="F1682" s="67" t="inlineStr">
        <is>
          <t>Juizo Do Juizado Especial Civel Da Comarca De Criciuma</t>
        </is>
      </c>
    </row>
    <row r="1683">
      <c r="A1683" s="40" t="inlineStr">
        <is>
          <t>0000632-27.2021.5.12.0003</t>
        </is>
      </c>
      <c r="B1683" s="40" t="inlineStr">
        <is>
          <t>Outras</t>
        </is>
      </c>
      <c r="D1683" s="67" t="inlineStr">
        <is>
          <t>Renata Francisco Becker</t>
        </is>
      </c>
      <c r="E1683" s="62" t="n">
        <v>44711</v>
      </c>
      <c r="F1683" s="67" t="inlineStr">
        <is>
          <t>1ª VARA DO TRABALHO DE CRICIÚMA</t>
        </is>
      </c>
    </row>
    <row r="1684">
      <c r="A1684" s="40" t="inlineStr">
        <is>
          <t>5013874-29.2021.8.24.0020</t>
        </is>
      </c>
      <c r="B1684" s="40" t="inlineStr">
        <is>
          <t>Outras</t>
        </is>
      </c>
      <c r="D1684" s="67" t="inlineStr">
        <is>
          <t>Renata Francisco Becker</t>
        </is>
      </c>
      <c r="E1684" s="62" t="n">
        <v>44701</v>
      </c>
      <c r="F1684" s="67" t="inlineStr">
        <is>
          <t>Juizo Da 2ª Vara Civel Da Comarca De Criciuma</t>
        </is>
      </c>
    </row>
    <row r="1685">
      <c r="A1685" s="40" t="inlineStr">
        <is>
          <t>5000132-73.2022.8.24.0028</t>
        </is>
      </c>
      <c r="B1685" s="40" t="inlineStr">
        <is>
          <t>Outras</t>
        </is>
      </c>
      <c r="D1685" s="67" t="inlineStr">
        <is>
          <t>Renata Francisco Becker</t>
        </is>
      </c>
      <c r="E1685" s="62" t="n">
        <v>44701</v>
      </c>
      <c r="F1685" s="67" t="inlineStr">
        <is>
          <t>Juizo Da 1ª Vara Da Comarca De Icara</t>
        </is>
      </c>
    </row>
    <row r="1686">
      <c r="A1686" s="40" t="inlineStr">
        <is>
          <t>0000369-92.2021.5.12.0003</t>
        </is>
      </c>
      <c r="B1686" s="40" t="inlineStr">
        <is>
          <t>Outras</t>
        </is>
      </c>
      <c r="D1686" s="67" t="inlineStr">
        <is>
          <t>Renata Francisco Becker</t>
        </is>
      </c>
      <c r="E1686" s="62" t="n">
        <v>44701</v>
      </c>
      <c r="F1686" s="67" t="inlineStr">
        <is>
          <t>1ª Vara Do Trabalho De Criciuma</t>
        </is>
      </c>
    </row>
    <row r="1687">
      <c r="A1687" s="40" t="inlineStr">
        <is>
          <t>5001359-85.2021.8.24.0076</t>
        </is>
      </c>
      <c r="B1687" s="40" t="inlineStr">
        <is>
          <t>Outras</t>
        </is>
      </c>
      <c r="D1687" s="67" t="inlineStr">
        <is>
          <t>Renata Francisco Becker</t>
        </is>
      </c>
      <c r="E1687" s="62" t="n">
        <v>44701</v>
      </c>
      <c r="F1687" s="67" t="inlineStr">
        <is>
          <t>Juizo Da Vara Unica Da Comarca De Turvo</t>
        </is>
      </c>
    </row>
    <row r="1688">
      <c r="A1688" s="40" t="inlineStr">
        <is>
          <t>5003065-24.2019.8.24.0028</t>
        </is>
      </c>
      <c r="B1688" s="40" t="inlineStr">
        <is>
          <t>Outras</t>
        </is>
      </c>
      <c r="D1688" s="67" t="inlineStr">
        <is>
          <t>Renata Francisco Becker</t>
        </is>
      </c>
      <c r="E1688" s="62" t="n">
        <v>44701</v>
      </c>
      <c r="F1688" s="67" t="inlineStr">
        <is>
          <t>Juizo Da 1ª Vara Da Comarca De Icara</t>
        </is>
      </c>
    </row>
    <row r="1689">
      <c r="A1689" s="40" t="inlineStr">
        <is>
          <t>0000379-06.2017.5.12.0027</t>
        </is>
      </c>
      <c r="B1689" s="40" t="inlineStr">
        <is>
          <t>Outras</t>
        </is>
      </c>
      <c r="D1689" s="67" t="inlineStr">
        <is>
          <t>Renata Francisco Becker</t>
        </is>
      </c>
      <c r="E1689" s="62" t="n">
        <v>44701</v>
      </c>
      <c r="F1689" s="67" t="inlineStr">
        <is>
          <t>2ª Vara Do Trabalho De Criciuma</t>
        </is>
      </c>
    </row>
    <row r="1690">
      <c r="A1690" s="40" t="inlineStr">
        <is>
          <t>0300182-63.2019.8.24.0078</t>
        </is>
      </c>
      <c r="B1690" s="40" t="inlineStr">
        <is>
          <t>Outras</t>
        </is>
      </c>
      <c r="D1690" s="67" t="inlineStr">
        <is>
          <t>Renata Francisco Becker</t>
        </is>
      </c>
      <c r="E1690" s="62" t="n">
        <v>44701</v>
      </c>
      <c r="F1690" s="67" t="inlineStr">
        <is>
          <t>2ª Vara</t>
        </is>
      </c>
    </row>
    <row r="1691">
      <c r="A1691" s="40" t="inlineStr">
        <is>
          <t>5023289-36.2021.8.24.0020</t>
        </is>
      </c>
      <c r="B1691" s="40" t="inlineStr">
        <is>
          <t>Outras</t>
        </is>
      </c>
      <c r="D1691" s="67" t="inlineStr">
        <is>
          <t>Renata Francisco Becker</t>
        </is>
      </c>
      <c r="E1691" s="62" t="n">
        <v>44701</v>
      </c>
      <c r="F1691" s="67" t="inlineStr">
        <is>
          <t>Juizo Da 2ª Vara Da Fazenda Publica Da Comarca De Criciuma</t>
        </is>
      </c>
    </row>
    <row r="1692">
      <c r="A1692" s="40" t="inlineStr">
        <is>
          <t>0000550-21.2021.5.12.0027</t>
        </is>
      </c>
      <c r="B1692" s="40" t="inlineStr">
        <is>
          <t>Outras</t>
        </is>
      </c>
      <c r="D1692" s="67" t="inlineStr">
        <is>
          <t>Renata Francisco Becker</t>
        </is>
      </c>
      <c r="E1692" s="62" t="n">
        <v>44701</v>
      </c>
      <c r="F1692" s="67" t="inlineStr">
        <is>
          <t>2ª Vara Do Trabalho De Criciuma</t>
        </is>
      </c>
    </row>
    <row r="1693">
      <c r="A1693" s="40" t="inlineStr">
        <is>
          <t>0000308-37.2021.5.12.0003</t>
        </is>
      </c>
      <c r="B1693" s="40" t="inlineStr">
        <is>
          <t>Outras</t>
        </is>
      </c>
      <c r="D1693" s="67" t="inlineStr">
        <is>
          <t>Renata Francisco Becker</t>
        </is>
      </c>
      <c r="E1693" s="62" t="n">
        <v>44701</v>
      </c>
      <c r="F1693" s="67" t="inlineStr">
        <is>
          <t>1ª Vara Do Trabalho De Criciuma</t>
        </is>
      </c>
    </row>
    <row r="1694">
      <c r="A1694" s="40" t="inlineStr">
        <is>
          <t>0312735-93.2017.8.24.0020</t>
        </is>
      </c>
      <c r="B1694" s="40" t="inlineStr">
        <is>
          <t>Outras</t>
        </is>
      </c>
      <c r="D1694" s="67" t="inlineStr">
        <is>
          <t>Renata Francisco Becker</t>
        </is>
      </c>
      <c r="E1694" s="62" t="n">
        <v>44701</v>
      </c>
      <c r="F1694" s="67" t="inlineStr">
        <is>
          <t>2ª Vara Da Fazenda</t>
        </is>
      </c>
    </row>
    <row r="1695">
      <c r="A1695" s="40" t="inlineStr">
        <is>
          <t>5004889-42.2019.8.24.0020</t>
        </is>
      </c>
      <c r="B1695" s="40" t="inlineStr">
        <is>
          <t>Outras</t>
        </is>
      </c>
      <c r="D1695" s="67" t="inlineStr">
        <is>
          <t>Renata Francisco Becker</t>
        </is>
      </c>
      <c r="E1695" s="62" t="n">
        <v>44701</v>
      </c>
      <c r="F1695" s="67" t="inlineStr">
        <is>
          <t>Juizo Da 2ª Vara Da Fazenda Publica Da Comarca De Criciuma</t>
        </is>
      </c>
    </row>
    <row r="1696">
      <c r="A1696" s="40" t="inlineStr">
        <is>
          <t>5003062-09.2020.8.24.0069</t>
        </is>
      </c>
      <c r="B1696" s="40" t="inlineStr">
        <is>
          <t>Outras</t>
        </is>
      </c>
      <c r="D1696" s="67" t="inlineStr">
        <is>
          <t>Renata Francisco Becker</t>
        </is>
      </c>
      <c r="E1696" s="62" t="n">
        <v>44701</v>
      </c>
      <c r="F1696" s="67" t="inlineStr">
        <is>
          <t>Juizo Da 1ª Vara Da Comarca De Sombrio</t>
        </is>
      </c>
    </row>
    <row r="1697">
      <c r="A1697" s="40" t="inlineStr">
        <is>
          <t>0300181-78.2019.8.24.0078</t>
        </is>
      </c>
      <c r="B1697" s="40" t="inlineStr">
        <is>
          <t>Outras</t>
        </is>
      </c>
      <c r="D1697" s="67" t="inlineStr">
        <is>
          <t>Renata Francisco Becker</t>
        </is>
      </c>
      <c r="E1697" s="62" t="n">
        <v>44701</v>
      </c>
      <c r="F1697" s="67" t="inlineStr">
        <is>
          <t>2ª Vara</t>
        </is>
      </c>
    </row>
    <row r="1698">
      <c r="A1698" s="40" t="inlineStr">
        <is>
          <t>5024564-20.2021.8.24.0020</t>
        </is>
      </c>
      <c r="B1698" s="40" t="inlineStr">
        <is>
          <t>Outras</t>
        </is>
      </c>
      <c r="D1698" s="67" t="inlineStr">
        <is>
          <t>Renata Francisco Becker</t>
        </is>
      </c>
      <c r="E1698" s="62" t="n">
        <v>44701</v>
      </c>
      <c r="F1698" s="67" t="inlineStr">
        <is>
          <t>Juizo Da 1ª Vara Da Fazenda Publica Da Comarca De Criciuma</t>
        </is>
      </c>
    </row>
    <row r="1699">
      <c r="A1699" s="40" t="inlineStr">
        <is>
          <t>5000981-60.2020.8.24.0078</t>
        </is>
      </c>
      <c r="B1699" s="40" t="inlineStr">
        <is>
          <t>Outras</t>
        </is>
      </c>
      <c r="D1699" s="67" t="inlineStr">
        <is>
          <t>Renata Francisco Becker</t>
        </is>
      </c>
      <c r="E1699" s="62" t="n">
        <v>44701</v>
      </c>
      <c r="F1699" s="67" t="inlineStr">
        <is>
          <t>Juizo Da 1ª Vara Da Comarca De Urussanga</t>
        </is>
      </c>
    </row>
    <row r="1700">
      <c r="A1700" s="40" t="inlineStr">
        <is>
          <t>5000615-64.2021.8.24.0020</t>
        </is>
      </c>
      <c r="B1700" s="40" t="inlineStr">
        <is>
          <t>Outras</t>
        </is>
      </c>
      <c r="D1700" s="67" t="inlineStr">
        <is>
          <t>Renata Francisco Becker</t>
        </is>
      </c>
      <c r="E1700" s="62" t="n">
        <v>44701</v>
      </c>
      <c r="F1700" s="67" t="inlineStr">
        <is>
          <t>Juizo Da 2ª Vara Civel Da Comarca De Criciuma</t>
        </is>
      </c>
    </row>
    <row r="1701">
      <c r="A1701" s="40" t="inlineStr">
        <is>
          <t>5006266-77.2021.8.24.0020</t>
        </is>
      </c>
      <c r="B1701" s="40" t="inlineStr">
        <is>
          <t>Outras</t>
        </is>
      </c>
      <c r="D1701" s="67" t="inlineStr">
        <is>
          <t>Renata Francisco Becker</t>
        </is>
      </c>
      <c r="E1701" s="62" t="n">
        <v>44701</v>
      </c>
      <c r="F1701" s="67" t="inlineStr">
        <is>
          <t>Juizo Do Juizado Especial Civel Da Comarca De Criciuma</t>
        </is>
      </c>
    </row>
    <row r="1702">
      <c r="A1702" s="40" t="inlineStr">
        <is>
          <t>5007512-57.2016.4.04.7204</t>
        </is>
      </c>
      <c r="B1702" s="40" t="inlineStr">
        <is>
          <t>Outras</t>
        </is>
      </c>
      <c r="D1702" s="67" t="inlineStr">
        <is>
          <t>Renata Francisco Becker</t>
        </is>
      </c>
      <c r="E1702" s="62" t="n">
        <v>44701</v>
      </c>
      <c r="F1702" s="67" t="inlineStr">
        <is>
          <t>Juizo Federal Da 2ª Vf De Criciuma</t>
        </is>
      </c>
    </row>
    <row r="1703">
      <c r="A1703" s="40" t="inlineStr">
        <is>
          <t>0000185-28.2018.8.24.0175</t>
        </is>
      </c>
      <c r="B1703" s="40" t="inlineStr">
        <is>
          <t>Outras</t>
        </is>
      </c>
      <c r="D1703" s="67" t="inlineStr">
        <is>
          <t>Renata Francisco Becker</t>
        </is>
      </c>
      <c r="E1703" s="62" t="n">
        <v>44701</v>
      </c>
      <c r="F1703" s="67" t="inlineStr">
        <is>
          <t>Unidade Regional De Direito Bancario Do Litoral Sul Catarinense</t>
        </is>
      </c>
    </row>
    <row r="1704">
      <c r="A1704" s="40" t="inlineStr">
        <is>
          <t>5002382-16.2021.8.24.0028</t>
        </is>
      </c>
      <c r="B1704" s="40" t="inlineStr">
        <is>
          <t>Outras</t>
        </is>
      </c>
      <c r="D1704" s="67" t="inlineStr">
        <is>
          <t>Renata Francisco Becker</t>
        </is>
      </c>
      <c r="E1704" s="62" t="n">
        <v>44701</v>
      </c>
      <c r="F1704" s="67" t="inlineStr">
        <is>
          <t>Juizo Da 1ª Vara Da Comarca De Icara</t>
        </is>
      </c>
    </row>
    <row r="1705">
      <c r="A1705" s="40" t="inlineStr">
        <is>
          <t>0300613-53.2019.8.24.0028</t>
        </is>
      </c>
      <c r="B1705" s="40" t="inlineStr">
        <is>
          <t>Outras</t>
        </is>
      </c>
      <c r="D1705" s="67" t="inlineStr">
        <is>
          <t>Renata Francisco Becker</t>
        </is>
      </c>
      <c r="E1705" s="62" t="n">
        <v>44701</v>
      </c>
      <c r="F1705" s="67" t="inlineStr">
        <is>
          <t>1ª Vara</t>
        </is>
      </c>
    </row>
    <row r="1706">
      <c r="A1706" s="40" t="inlineStr">
        <is>
          <t>5010590-81.2019.8.24.0020</t>
        </is>
      </c>
      <c r="B1706" s="40" t="inlineStr">
        <is>
          <t>Outras</t>
        </is>
      </c>
      <c r="D1706" s="67" t="inlineStr">
        <is>
          <t>Renata Francisco Becker</t>
        </is>
      </c>
      <c r="E1706" s="62" t="n">
        <v>44701</v>
      </c>
      <c r="F1706" s="67" t="inlineStr">
        <is>
          <t>Juizo Do Juizado Especial Civel Da Comarca De Criciuma</t>
        </is>
      </c>
    </row>
    <row r="1707">
      <c r="A1707" s="40" t="inlineStr">
        <is>
          <t>5008753-54.2020.8.24.0020</t>
        </is>
      </c>
      <c r="B1707" s="40" t="inlineStr">
        <is>
          <t>Outras</t>
        </is>
      </c>
      <c r="D1707" s="67" t="inlineStr">
        <is>
          <t>Renata Francisco Becker</t>
        </is>
      </c>
      <c r="E1707" s="62" t="n">
        <v>44701</v>
      </c>
      <c r="F1707" s="67" t="inlineStr">
        <is>
          <t>Juizo Da 3ª Vara Civel Da Comarca De Criciuma</t>
        </is>
      </c>
    </row>
    <row r="1708">
      <c r="A1708" s="40" t="inlineStr">
        <is>
          <t>5004717-03.2019.8.24.0020</t>
        </is>
      </c>
      <c r="B1708" s="40" t="inlineStr">
        <is>
          <t>Outras</t>
        </is>
      </c>
      <c r="D1708" s="67" t="inlineStr">
        <is>
          <t>Renata Francisco Becker</t>
        </is>
      </c>
      <c r="E1708" s="62" t="n">
        <v>44701</v>
      </c>
      <c r="F1708" s="67" t="inlineStr">
        <is>
          <t>Juizo Da 4ª Vara Civel Da Comarca De Criciuma</t>
        </is>
      </c>
    </row>
    <row r="1709">
      <c r="A1709" s="40" t="inlineStr">
        <is>
          <t>5003518-48.2021.8.24.0028</t>
        </is>
      </c>
      <c r="B1709" s="40" t="inlineStr">
        <is>
          <t>Outras</t>
        </is>
      </c>
      <c r="D1709" s="67" t="inlineStr">
        <is>
          <t>Renata Francisco Becker</t>
        </is>
      </c>
      <c r="E1709" s="62" t="n">
        <v>44701</v>
      </c>
      <c r="F1709" s="67" t="inlineStr">
        <is>
          <t>Juizo Da 1ª Vara Da Comarca De Icara</t>
        </is>
      </c>
    </row>
    <row r="1710">
      <c r="A1710" s="40" t="inlineStr">
        <is>
          <t>5002155-26.2021.8.24.0028</t>
        </is>
      </c>
      <c r="B1710" s="40" t="inlineStr">
        <is>
          <t>Outras</t>
        </is>
      </c>
      <c r="D1710" s="67" t="inlineStr">
        <is>
          <t>Renata Francisco Becker</t>
        </is>
      </c>
      <c r="E1710" s="62" t="n">
        <v>44701</v>
      </c>
      <c r="F1710" s="67" t="inlineStr">
        <is>
          <t>Juizo Da 1ª Vara Da Comarca De Icara</t>
        </is>
      </c>
    </row>
    <row r="1711">
      <c r="A1711" s="40" t="inlineStr">
        <is>
          <t>0300625-67.2019.8.24.0028</t>
        </is>
      </c>
      <c r="B1711" s="40" t="inlineStr">
        <is>
          <t>Outras</t>
        </is>
      </c>
      <c r="D1711" s="67" t="inlineStr">
        <is>
          <t>Renata Francisco Becker</t>
        </is>
      </c>
      <c r="E1711" s="62" t="n">
        <v>44701</v>
      </c>
      <c r="F1711" s="67" t="inlineStr">
        <is>
          <t>1ª Vara</t>
        </is>
      </c>
    </row>
    <row r="1712">
      <c r="A1712" s="40" t="inlineStr">
        <is>
          <t>0000310-32.2021.5.12.0027</t>
        </is>
      </c>
      <c r="B1712" s="40" t="inlineStr">
        <is>
          <t>Outras</t>
        </is>
      </c>
      <c r="D1712" s="67" t="inlineStr">
        <is>
          <t>Renata Francisco Becker</t>
        </is>
      </c>
      <c r="E1712" s="62" t="n">
        <v>44701</v>
      </c>
      <c r="F1712" s="67" t="inlineStr">
        <is>
          <t>2ª Vara Do Trabalho De Criciuma</t>
        </is>
      </c>
    </row>
    <row r="1713">
      <c r="A1713" s="40" t="inlineStr">
        <is>
          <t>0000066-19.2021.5.12.0055</t>
        </is>
      </c>
      <c r="B1713" s="40" t="inlineStr">
        <is>
          <t>Outras</t>
        </is>
      </c>
      <c r="D1713" s="67" t="inlineStr">
        <is>
          <t>Renata Francisco Becker</t>
        </is>
      </c>
      <c r="E1713" s="62" t="n">
        <v>44701</v>
      </c>
      <c r="F1713" s="67" t="inlineStr">
        <is>
          <t>4ª Vara Do Trabalho De Criciuma</t>
        </is>
      </c>
    </row>
    <row r="1714">
      <c r="A1714" s="40" t="inlineStr">
        <is>
          <t>0300984-38.2017.8.24.0076</t>
        </is>
      </c>
      <c r="B1714" s="40" t="inlineStr">
        <is>
          <t>Outras</t>
        </is>
      </c>
      <c r="D1714" s="67" t="inlineStr">
        <is>
          <t>Renata Francisco Becker</t>
        </is>
      </c>
      <c r="E1714" s="62" t="n">
        <v>44701</v>
      </c>
      <c r="F1714" s="67" t="inlineStr">
        <is>
          <t>Juizo Da Vara Unica Da Comarca De Turvo</t>
        </is>
      </c>
    </row>
    <row r="1715">
      <c r="A1715" s="40" t="inlineStr">
        <is>
          <t>0000146-51.2019.5.12.0055</t>
        </is>
      </c>
      <c r="B1715" s="40" t="inlineStr">
        <is>
          <t>Outras</t>
        </is>
      </c>
      <c r="D1715" s="67" t="inlineStr">
        <is>
          <t>Renata Francisco Becker</t>
        </is>
      </c>
      <c r="E1715" s="62" t="n">
        <v>44701</v>
      </c>
      <c r="F1715" s="67" t="inlineStr">
        <is>
          <t>4ª Vara Do Trabalho De Criciuma</t>
        </is>
      </c>
    </row>
    <row r="1716">
      <c r="A1716" s="40" t="inlineStr">
        <is>
          <t>0302445-48.2019.8.24.0020</t>
        </is>
      </c>
      <c r="B1716" s="40" t="inlineStr">
        <is>
          <t>Outras</t>
        </is>
      </c>
      <c r="D1716" s="67" t="inlineStr">
        <is>
          <t>Renata Francisco Becker</t>
        </is>
      </c>
      <c r="E1716" s="62" t="n">
        <v>44701</v>
      </c>
      <c r="F1716" s="67" t="inlineStr">
        <is>
          <t>Juizado Especial Civel</t>
        </is>
      </c>
    </row>
    <row r="1717">
      <c r="A1717" s="40" t="inlineStr">
        <is>
          <t>5006790-74.2021.8.24.0020</t>
        </is>
      </c>
      <c r="B1717" s="40" t="inlineStr">
        <is>
          <t>Outras</t>
        </is>
      </c>
      <c r="D1717" s="67" t="inlineStr">
        <is>
          <t>Renata Francisco Becker</t>
        </is>
      </c>
      <c r="E1717" s="62" t="n">
        <v>44701</v>
      </c>
      <c r="F1717" s="67" t="inlineStr">
        <is>
          <t>Juizo Da Vara Da Infancia E Juventude E Anexos Da Comarca De Criciuma</t>
        </is>
      </c>
    </row>
    <row r="1718">
      <c r="A1718" s="40" t="inlineStr">
        <is>
          <t>5019599-33.2020.8.24.0020</t>
        </is>
      </c>
      <c r="B1718" s="40" t="inlineStr">
        <is>
          <t>Outras</t>
        </is>
      </c>
      <c r="D1718" s="67" t="inlineStr">
        <is>
          <t>Renata Francisco Becker</t>
        </is>
      </c>
      <c r="E1718" s="62" t="n">
        <v>44701</v>
      </c>
      <c r="F1718" s="67" t="inlineStr">
        <is>
          <t>Juizo Da 2ª Vara Da Fazenda Publica Da Comarca De Criciuma</t>
        </is>
      </c>
    </row>
    <row r="1719">
      <c r="A1719" s="40" t="inlineStr">
        <is>
          <t>5012520-03.2020.8.24.0020</t>
        </is>
      </c>
      <c r="B1719" s="40" t="inlineStr">
        <is>
          <t>Outras</t>
        </is>
      </c>
      <c r="D1719" s="67" t="inlineStr">
        <is>
          <t>Renata Francisco Becker</t>
        </is>
      </c>
      <c r="E1719" s="62" t="n">
        <v>44701</v>
      </c>
      <c r="F1719" s="67" t="inlineStr">
        <is>
          <t>Juizo Da 2ª Vara Da Fazenda Publica Da Comarca De Criciuma</t>
        </is>
      </c>
    </row>
    <row r="1720">
      <c r="A1720" s="40" t="inlineStr">
        <is>
          <t>5002782-83.2021.8.24.0075</t>
        </is>
      </c>
      <c r="B1720" s="40" t="inlineStr">
        <is>
          <t>Outras</t>
        </is>
      </c>
      <c r="D1720" s="67" t="inlineStr">
        <is>
          <t>Renata Francisco Becker</t>
        </is>
      </c>
      <c r="E1720" s="62" t="n">
        <v>44701</v>
      </c>
      <c r="F1720" s="67" t="inlineStr">
        <is>
          <t>Juizo Do Juizado Especial Civel Da Comarca De Tubarao</t>
        </is>
      </c>
    </row>
    <row r="1721">
      <c r="A1721" s="40" t="inlineStr">
        <is>
          <t>1003853-20.2021.8.26.0016</t>
        </is>
      </c>
      <c r="B1721" s="40" t="inlineStr">
        <is>
          <t>Outras</t>
        </is>
      </c>
      <c r="D1721" s="67" t="inlineStr">
        <is>
          <t>Renata Francisco Becker</t>
        </is>
      </c>
      <c r="E1721" s="62" t="n">
        <v>44701</v>
      </c>
      <c r="F1721" s="67" t="inlineStr">
        <is>
          <t>1ª Vara Do Juizado Especial Civel Vergueiro</t>
        </is>
      </c>
    </row>
    <row r="1722">
      <c r="A1722" s="40" t="inlineStr">
        <is>
          <t>5017012-45.2019.4.04.7204</t>
        </is>
      </c>
      <c r="B1722" s="40" t="inlineStr">
        <is>
          <t>Outras</t>
        </is>
      </c>
      <c r="D1722" s="67" t="inlineStr">
        <is>
          <t>Renata Francisco Becker</t>
        </is>
      </c>
      <c r="E1722" s="62" t="n">
        <v>44701</v>
      </c>
      <c r="F1722" s="67" t="inlineStr">
        <is>
          <t>Juizo Federal Da 3ª Vf De Criciuma</t>
        </is>
      </c>
    </row>
    <row r="1723">
      <c r="A1723" s="40" t="inlineStr">
        <is>
          <t>5002359-67.2021.4.04.7204</t>
        </is>
      </c>
      <c r="B1723" s="40" t="inlineStr">
        <is>
          <t>Outras</t>
        </is>
      </c>
      <c r="D1723" s="67" t="inlineStr">
        <is>
          <t>Renata Francisco Becker</t>
        </is>
      </c>
      <c r="E1723" s="62" t="n">
        <v>44701</v>
      </c>
      <c r="F1723" s="67" t="inlineStr">
        <is>
          <t>Juizo Substituto Da 1ª Vf De Jaragua Do Sul</t>
        </is>
      </c>
    </row>
    <row r="1724">
      <c r="A1724" s="40" t="inlineStr">
        <is>
          <t>5002071-56.2020.4.04.7204</t>
        </is>
      </c>
      <c r="B1724" s="40" t="inlineStr">
        <is>
          <t>Outras</t>
        </is>
      </c>
      <c r="D1724" s="67" t="inlineStr">
        <is>
          <t>Renata Francisco Becker</t>
        </is>
      </c>
      <c r="E1724" s="62" t="n">
        <v>44701</v>
      </c>
      <c r="F1724" s="67" t="inlineStr">
        <is>
          <t>Juizo Substituto Da 5ª Vf De Florianopolis</t>
        </is>
      </c>
    </row>
    <row r="1725">
      <c r="A1725" s="40" t="inlineStr">
        <is>
          <t>5021440-63.2020.8.24.0020</t>
        </is>
      </c>
      <c r="B1725" s="40" t="inlineStr">
        <is>
          <t>Outras</t>
        </is>
      </c>
      <c r="D1725" s="67" t="inlineStr">
        <is>
          <t>Renata Francisco Becker</t>
        </is>
      </c>
      <c r="E1725" s="62" t="n">
        <v>44701</v>
      </c>
      <c r="F1725" s="67" t="inlineStr">
        <is>
          <t>Juizo Da 1ª Vara Da Fazenda Publica Da Comarca De Criciuma</t>
        </is>
      </c>
    </row>
    <row r="1726">
      <c r="A1726" s="40" t="inlineStr">
        <is>
          <t>0312710-46.2018.8.24.0020</t>
        </is>
      </c>
      <c r="B1726" s="40" t="inlineStr">
        <is>
          <t>Outras</t>
        </is>
      </c>
      <c r="D1726" s="67" t="inlineStr">
        <is>
          <t>Renata Francisco Becker</t>
        </is>
      </c>
      <c r="E1726" s="62" t="n">
        <v>44701</v>
      </c>
      <c r="F1726" s="67" t="inlineStr">
        <is>
          <t>Juizado Especial Civel</t>
        </is>
      </c>
    </row>
    <row r="1727">
      <c r="A1727" s="40" t="inlineStr">
        <is>
          <t>0300439-68.2019.8.24.0020</t>
        </is>
      </c>
      <c r="B1727" s="40" t="inlineStr">
        <is>
          <t>Outras</t>
        </is>
      </c>
      <c r="D1727" s="67" t="inlineStr">
        <is>
          <t>Renata Francisco Becker</t>
        </is>
      </c>
      <c r="E1727" s="62" t="n">
        <v>44701</v>
      </c>
      <c r="F1727" s="67" t="inlineStr">
        <is>
          <t>Juizado Especial Civel</t>
        </is>
      </c>
    </row>
    <row r="1728">
      <c r="A1728" s="40" t="inlineStr">
        <is>
          <t>0302349-14.2016.8.24.0028</t>
        </is>
      </c>
      <c r="B1728" s="40" t="inlineStr">
        <is>
          <t>Outras</t>
        </is>
      </c>
      <c r="D1728" s="67" t="inlineStr">
        <is>
          <t>Renata Francisco Becker</t>
        </is>
      </c>
      <c r="E1728" s="62" t="n">
        <v>44701</v>
      </c>
      <c r="F1728" s="67" t="inlineStr">
        <is>
          <t>Juizo Da 1ª Vara Da Comarca De Icara</t>
        </is>
      </c>
    </row>
    <row r="1729">
      <c r="A1729" s="40" t="inlineStr">
        <is>
          <t>5010391-25.2020.8.24.0020</t>
        </is>
      </c>
      <c r="B1729" s="40" t="inlineStr">
        <is>
          <t>Outras</t>
        </is>
      </c>
      <c r="D1729" s="67" t="inlineStr">
        <is>
          <t>Renata Francisco Becker</t>
        </is>
      </c>
      <c r="E1729" s="62" t="n">
        <v>44701</v>
      </c>
      <c r="F1729" s="67" t="inlineStr">
        <is>
          <t>Juizo Da 2ª Vara Da Fazenda Publica Da Comarca De Criciuma</t>
        </is>
      </c>
    </row>
    <row r="1730">
      <c r="A1730" s="40" t="inlineStr">
        <is>
          <t>5002755-42.2019.8.24.0020</t>
        </is>
      </c>
      <c r="B1730" s="40" t="inlineStr">
        <is>
          <t>Outras</t>
        </is>
      </c>
      <c r="D1730" s="67" t="inlineStr">
        <is>
          <t>Renata Francisco Becker</t>
        </is>
      </c>
      <c r="E1730" s="62" t="n">
        <v>44701</v>
      </c>
      <c r="F1730" s="67" t="inlineStr">
        <is>
          <t>Juizo Da 1ª Vara Da Fazenda Publica Da Comarca De Criciuma</t>
        </is>
      </c>
    </row>
    <row r="1731">
      <c r="A1731" s="40" t="inlineStr">
        <is>
          <t>5001285-86.2020.8.24.0166</t>
        </is>
      </c>
      <c r="B1731" s="40" t="inlineStr">
        <is>
          <t>Outras</t>
        </is>
      </c>
      <c r="D1731" s="67" t="inlineStr">
        <is>
          <t>Renata Francisco Becker</t>
        </is>
      </c>
      <c r="E1731" s="62" t="n">
        <v>44701</v>
      </c>
      <c r="F1731" s="67" t="inlineStr">
        <is>
          <t>Juizo Da Vara Unica Da Comarca De Forquilhinha</t>
        </is>
      </c>
    </row>
    <row r="1732">
      <c r="A1732" s="40" t="inlineStr">
        <is>
          <t>5021943-84.2020.8.24.0020</t>
        </is>
      </c>
      <c r="B1732" s="40" t="inlineStr">
        <is>
          <t>Outras</t>
        </is>
      </c>
      <c r="D1732" s="67" t="inlineStr">
        <is>
          <t>Renata Francisco Becker</t>
        </is>
      </c>
      <c r="E1732" s="62" t="n">
        <v>44701</v>
      </c>
      <c r="F1732" s="67" t="inlineStr">
        <is>
          <t>Juizo Do Juizado Especial Civel Da Comarca De Criciuma</t>
        </is>
      </c>
    </row>
    <row r="1733">
      <c r="A1733" s="40" t="inlineStr">
        <is>
          <t>5023596-75.2020.4.04.0000</t>
        </is>
      </c>
      <c r="B1733" s="40" t="inlineStr">
        <is>
          <t>Outras</t>
        </is>
      </c>
      <c r="D1733" s="67" t="inlineStr">
        <is>
          <t>Renata Francisco Becker</t>
        </is>
      </c>
      <c r="E1733" s="62" t="n">
        <v>45552</v>
      </c>
      <c r="F1733" s="67" t="inlineStr">
        <is>
          <t>GAB. 92 (Des. Federal CELSO KIPPER)</t>
        </is>
      </c>
    </row>
    <row r="1734">
      <c r="A1734" s="40" t="inlineStr">
        <is>
          <t>0301383-08.2019.8.24.0073</t>
        </is>
      </c>
      <c r="B1734" s="40" t="inlineStr">
        <is>
          <t>Outras</t>
        </is>
      </c>
      <c r="D1734" s="67" t="inlineStr">
        <is>
          <t>Renata Francisco Becker</t>
        </is>
      </c>
      <c r="E1734" s="62" t="n">
        <v>44701</v>
      </c>
      <c r="F1734" s="67" t="inlineStr">
        <is>
          <t>1ª Vara Civel</t>
        </is>
      </c>
    </row>
    <row r="1735">
      <c r="A1735" s="40" t="inlineStr">
        <is>
          <t>0000083-85.2019.5.12.0003</t>
        </is>
      </c>
      <c r="B1735" s="40" t="inlineStr">
        <is>
          <t>Outras</t>
        </is>
      </c>
      <c r="D1735" s="67" t="inlineStr">
        <is>
          <t>Renata Francisco Becker</t>
        </is>
      </c>
      <c r="E1735" s="62" t="n">
        <v>44701</v>
      </c>
      <c r="F1735" s="67" t="inlineStr">
        <is>
          <t>1ª Vara Do Trabalho De Criciuma</t>
        </is>
      </c>
    </row>
    <row r="1736">
      <c r="A1736" s="40" t="inlineStr">
        <is>
          <t>0300336-11.2019.8.24.0166</t>
        </is>
      </c>
      <c r="B1736" s="40" t="inlineStr">
        <is>
          <t>Outras</t>
        </is>
      </c>
      <c r="D1736" s="67" t="inlineStr">
        <is>
          <t>Renata Francisco Becker</t>
        </is>
      </c>
      <c r="E1736" s="62" t="n">
        <v>44701</v>
      </c>
      <c r="F1736" s="67" t="inlineStr">
        <is>
          <t>Vara Unica</t>
        </is>
      </c>
    </row>
    <row r="1737">
      <c r="A1737" s="40" t="inlineStr">
        <is>
          <t>0000764-12.2020.5.12.0006</t>
        </is>
      </c>
      <c r="B1737" s="40" t="inlineStr">
        <is>
          <t>Outras</t>
        </is>
      </c>
      <c r="D1737" s="67" t="inlineStr">
        <is>
          <t>Renata Francisco Becker</t>
        </is>
      </c>
      <c r="E1737" s="62" t="n">
        <v>44701</v>
      </c>
      <c r="F1737" s="67" t="inlineStr">
        <is>
          <t>1ª Vara Do Trabalho De Tubarao</t>
        </is>
      </c>
    </row>
    <row r="1738">
      <c r="A1738" s="40" t="inlineStr">
        <is>
          <t>5000161-31.2019.8.24.0028</t>
        </is>
      </c>
      <c r="B1738" s="40" t="inlineStr">
        <is>
          <t>Outras</t>
        </is>
      </c>
      <c r="D1738" s="67" t="inlineStr">
        <is>
          <t>Renata Francisco Becker</t>
        </is>
      </c>
      <c r="E1738" s="62" t="n">
        <v>44701</v>
      </c>
      <c r="F1738" s="67" t="inlineStr">
        <is>
          <t>Juizo Da 1ª Vara Da Comarca De Icara</t>
        </is>
      </c>
    </row>
    <row r="1739">
      <c r="A1739" s="40" t="inlineStr">
        <is>
          <t>0300622-15.2019.8.24.0028</t>
        </is>
      </c>
      <c r="B1739" s="40" t="inlineStr">
        <is>
          <t>Outras</t>
        </is>
      </c>
      <c r="D1739" s="67" t="inlineStr">
        <is>
          <t>Renata Francisco Becker</t>
        </is>
      </c>
      <c r="E1739" s="62" t="n">
        <v>44701</v>
      </c>
      <c r="F1739" s="67" t="inlineStr">
        <is>
          <t>1ª Vara</t>
        </is>
      </c>
    </row>
    <row r="1740">
      <c r="A1740" s="40" t="inlineStr">
        <is>
          <t>5002587-53.2020.8.24.0069</t>
        </is>
      </c>
      <c r="B1740" s="40" t="inlineStr">
        <is>
          <t>Outras</t>
        </is>
      </c>
      <c r="D1740" s="67" t="inlineStr">
        <is>
          <t>Renata Francisco Becker</t>
        </is>
      </c>
      <c r="E1740" s="62" t="n">
        <v>44701</v>
      </c>
      <c r="F1740" s="67" t="inlineStr">
        <is>
          <t>Juizo Da 1ª Vara Da Comarca De Sombrio</t>
        </is>
      </c>
    </row>
    <row r="1741">
      <c r="A1741" s="40" t="inlineStr">
        <is>
          <t>5002771-32.2020.4.04.7204</t>
        </is>
      </c>
      <c r="B1741" s="40" t="inlineStr">
        <is>
          <t>Outras</t>
        </is>
      </c>
      <c r="D1741" s="67" t="inlineStr">
        <is>
          <t>Renata Francisco Becker</t>
        </is>
      </c>
      <c r="E1741" s="62" t="n">
        <v>44701</v>
      </c>
      <c r="F1741" s="67" t="inlineStr">
        <is>
          <t>Juizo Substituto Da 3ª Vf De Criciuma</t>
        </is>
      </c>
    </row>
    <row r="1742">
      <c r="A1742" s="40" t="inlineStr">
        <is>
          <t>5005208-46.2020.4.04.7204</t>
        </is>
      </c>
      <c r="B1742" s="40" t="inlineStr">
        <is>
          <t>Outras</t>
        </is>
      </c>
      <c r="D1742" s="67" t="inlineStr">
        <is>
          <t>Renata Francisco Becker</t>
        </is>
      </c>
      <c r="E1742" s="62" t="n">
        <v>44701</v>
      </c>
      <c r="F1742" s="67" t="inlineStr">
        <is>
          <t>Juizo Federal Da 3ª Vf De Criciuma</t>
        </is>
      </c>
    </row>
    <row r="1743">
      <c r="A1743" s="40" t="inlineStr">
        <is>
          <t>0000617-20.2020.5.12.0027</t>
        </is>
      </c>
      <c r="B1743" s="40" t="inlineStr">
        <is>
          <t>Outras</t>
        </is>
      </c>
      <c r="D1743" s="67" t="inlineStr">
        <is>
          <t>Renata Francisco Becker</t>
        </is>
      </c>
      <c r="E1743" s="62" t="n">
        <v>44701</v>
      </c>
      <c r="F1743" s="67" t="inlineStr">
        <is>
          <t>2ª Vara Do Trabalho De Criciuma</t>
        </is>
      </c>
    </row>
    <row r="1744">
      <c r="A1744" s="40" t="inlineStr">
        <is>
          <t>9001003-59.2020.8.21.0005</t>
        </is>
      </c>
      <c r="B1744" s="40" t="inlineStr">
        <is>
          <t>Outras</t>
        </is>
      </c>
      <c r="D1744" s="67" t="inlineStr">
        <is>
          <t>Renata Francisco Becker</t>
        </is>
      </c>
      <c r="E1744" s="62" t="n">
        <v>44701</v>
      </c>
      <c r="F1744" s="67" t="inlineStr">
        <is>
          <t>Vara Do Jec</t>
        </is>
      </c>
    </row>
    <row r="1745">
      <c r="A1745" s="40" t="inlineStr">
        <is>
          <t>0000495-07.2020.5.12.0027</t>
        </is>
      </c>
      <c r="B1745" s="40" t="inlineStr">
        <is>
          <t>Outras</t>
        </is>
      </c>
      <c r="D1745" s="67" t="inlineStr">
        <is>
          <t>Renata Francisco Becker</t>
        </is>
      </c>
      <c r="E1745" s="62" t="n">
        <v>44701</v>
      </c>
      <c r="F1745" s="67" t="inlineStr">
        <is>
          <t>2ª Vara Do Trabalho De Criciuma</t>
        </is>
      </c>
    </row>
    <row r="1746">
      <c r="A1746" s="40" t="inlineStr">
        <is>
          <t>5004848-41.2020.8.24.0020</t>
        </is>
      </c>
      <c r="B1746" s="40" t="inlineStr">
        <is>
          <t>Outras</t>
        </is>
      </c>
      <c r="D1746" s="67" t="inlineStr">
        <is>
          <t>Renata Francisco Becker</t>
        </is>
      </c>
      <c r="E1746" s="62" t="n">
        <v>44701</v>
      </c>
      <c r="F1746" s="67" t="inlineStr">
        <is>
          <t>Juizo Da 1ª Vara Da Fazenda Publica Da Comarca De Criciuma</t>
        </is>
      </c>
    </row>
    <row r="1747">
      <c r="A1747" s="40" t="inlineStr">
        <is>
          <t>5007597-31.2020.8.24.0020</t>
        </is>
      </c>
      <c r="B1747" s="40" t="inlineStr">
        <is>
          <t>Outras</t>
        </is>
      </c>
      <c r="D1747" s="67" t="inlineStr">
        <is>
          <t>Renata Francisco Becker</t>
        </is>
      </c>
      <c r="E1747" s="62" t="n">
        <v>44701</v>
      </c>
      <c r="F1747" s="67" t="inlineStr">
        <is>
          <t>Juizo Da Juizado Especial Civel Da Comarca De Criciuma</t>
        </is>
      </c>
    </row>
    <row r="1748">
      <c r="A1748" s="40" t="inlineStr">
        <is>
          <t>5015371-15.2020.8.24.0020</t>
        </is>
      </c>
      <c r="B1748" s="40" t="inlineStr">
        <is>
          <t>Outras</t>
        </is>
      </c>
      <c r="D1748" s="67" t="inlineStr">
        <is>
          <t>Renata Francisco Becker</t>
        </is>
      </c>
      <c r="E1748" s="62" t="n">
        <v>44701</v>
      </c>
      <c r="F1748" s="67" t="inlineStr">
        <is>
          <t>Juizo Do Juizado Especial Civel Da Comarca De Criciuma</t>
        </is>
      </c>
    </row>
    <row r="1749">
      <c r="A1749" s="40" t="inlineStr">
        <is>
          <t>0000428-55.2020.5.12.0055</t>
        </is>
      </c>
      <c r="B1749" s="40" t="inlineStr">
        <is>
          <t>Outras</t>
        </is>
      </c>
      <c r="D1749" s="67" t="inlineStr">
        <is>
          <t>Renata Francisco Becker</t>
        </is>
      </c>
      <c r="E1749" s="62" t="n">
        <v>44701</v>
      </c>
      <c r="F1749" s="67" t="inlineStr">
        <is>
          <t>4ª Vara Do Trabalho De Criciuma</t>
        </is>
      </c>
    </row>
    <row r="1750">
      <c r="A1750" s="40" t="inlineStr">
        <is>
          <t>0000473-21.2020.5.12.0003</t>
        </is>
      </c>
      <c r="B1750" s="40" t="inlineStr">
        <is>
          <t>Outras</t>
        </is>
      </c>
      <c r="D1750" s="67" t="inlineStr">
        <is>
          <t>Renata Francisco Becker</t>
        </is>
      </c>
      <c r="E1750" s="62" t="n">
        <v>44701</v>
      </c>
      <c r="F1750" s="67" t="inlineStr">
        <is>
          <t>1ª Vara Do Trabalho De Criciuma</t>
        </is>
      </c>
    </row>
    <row r="1751">
      <c r="A1751" s="40" t="inlineStr">
        <is>
          <t>0000389-45.2020.5.12.0027</t>
        </is>
      </c>
      <c r="B1751" s="40" t="inlineStr">
        <is>
          <t>Outras</t>
        </is>
      </c>
      <c r="D1751" s="67" t="inlineStr">
        <is>
          <t>Renata Francisco Becker</t>
        </is>
      </c>
      <c r="E1751" s="62" t="n">
        <v>44701</v>
      </c>
      <c r="F1751" s="67" t="inlineStr">
        <is>
          <t>2ª Vara Do Trabalho De Criciuma</t>
        </is>
      </c>
    </row>
    <row r="1752">
      <c r="A1752" s="40" t="inlineStr">
        <is>
          <t>5001018-67.2020.8.24.0020</t>
        </is>
      </c>
      <c r="B1752" s="40" t="inlineStr">
        <is>
          <t>Outras</t>
        </is>
      </c>
      <c r="D1752" s="67" t="inlineStr">
        <is>
          <t>Renata Francisco Becker</t>
        </is>
      </c>
      <c r="E1752" s="62" t="n">
        <v>44701</v>
      </c>
      <c r="F1752" s="67" t="inlineStr">
        <is>
          <t>Juizo Da Juizado Especial Civel Da Comarca De Criciuma</t>
        </is>
      </c>
    </row>
    <row r="1753">
      <c r="A1753" s="40" t="inlineStr">
        <is>
          <t>0000235-46.2020.5.12.0053</t>
        </is>
      </c>
      <c r="B1753" s="40" t="inlineStr">
        <is>
          <t>Outras</t>
        </is>
      </c>
      <c r="D1753" s="67" t="inlineStr">
        <is>
          <t>Renata Francisco Becker</t>
        </is>
      </c>
      <c r="E1753" s="62" t="n">
        <v>44701</v>
      </c>
      <c r="F1753" s="67" t="inlineStr">
        <is>
          <t>3ª Vara Do Trabalho De Criciuma</t>
        </is>
      </c>
    </row>
    <row r="1754">
      <c r="A1754" s="40" t="inlineStr">
        <is>
          <t>0000388-60.2020.5.12.0027</t>
        </is>
      </c>
      <c r="B1754" s="40" t="inlineStr">
        <is>
          <t>Outras</t>
        </is>
      </c>
      <c r="D1754" s="67" t="inlineStr">
        <is>
          <t>Renata Francisco Becker</t>
        </is>
      </c>
      <c r="E1754" s="62" t="n">
        <v>44701</v>
      </c>
      <c r="F1754" s="67" t="inlineStr">
        <is>
          <t>2ª Vara Do Trabalho De Criciuma</t>
        </is>
      </c>
    </row>
    <row r="1755">
      <c r="A1755" s="40" t="inlineStr">
        <is>
          <t>0000157-52.2020.5.12.0053</t>
        </is>
      </c>
      <c r="B1755" s="40" t="inlineStr">
        <is>
          <t>Outras</t>
        </is>
      </c>
      <c r="D1755" s="67" t="inlineStr">
        <is>
          <t>Renata Francisco Becker</t>
        </is>
      </c>
      <c r="E1755" s="62" t="n">
        <v>44701</v>
      </c>
      <c r="F1755" s="67" t="inlineStr">
        <is>
          <t>3ª Vara Do Trabalho De Criciuma</t>
        </is>
      </c>
    </row>
    <row r="1756">
      <c r="A1756" s="40" t="inlineStr">
        <is>
          <t>5001102-78.2019.8.24.0028</t>
        </is>
      </c>
      <c r="B1756" s="40" t="inlineStr">
        <is>
          <t>Outras</t>
        </is>
      </c>
      <c r="D1756" s="67" t="inlineStr">
        <is>
          <t>Renata Francisco Becker</t>
        </is>
      </c>
      <c r="E1756" s="62" t="n">
        <v>44701</v>
      </c>
      <c r="F1756" s="67" t="inlineStr">
        <is>
          <t>Juizo Da 1ª Vara Da Comarca De Icara</t>
        </is>
      </c>
    </row>
    <row r="1757">
      <c r="A1757" s="40" t="inlineStr">
        <is>
          <t>5005826-52.2019.8.24.0020</t>
        </is>
      </c>
      <c r="B1757" s="40" t="inlineStr">
        <is>
          <t>Outras</t>
        </is>
      </c>
      <c r="D1757" s="67" t="inlineStr">
        <is>
          <t>Renata Francisco Becker</t>
        </is>
      </c>
      <c r="E1757" s="62" t="n">
        <v>44701</v>
      </c>
      <c r="F1757" s="67" t="inlineStr">
        <is>
          <t>Juizo Da 1ª Vara Da Fazenda Publica Da Comarca De Criciuma</t>
        </is>
      </c>
    </row>
    <row r="1758">
      <c r="A1758" s="40" t="inlineStr">
        <is>
          <t>0305067-08.2016.8.24.0020</t>
        </is>
      </c>
      <c r="B1758" s="40" t="inlineStr">
        <is>
          <t>Outras</t>
        </is>
      </c>
      <c r="D1758" s="67" t="inlineStr">
        <is>
          <t>Renata Francisco Becker</t>
        </is>
      </c>
      <c r="E1758" s="62" t="n">
        <v>44701</v>
      </c>
      <c r="F1758" s="67" t="inlineStr">
        <is>
          <t>2ª Vara Da Fazenda Criciuma</t>
        </is>
      </c>
    </row>
    <row r="1759">
      <c r="A1759" s="40" t="inlineStr">
        <is>
          <t>0303960-21.2019.8.24.0020</t>
        </is>
      </c>
      <c r="B1759" s="40" t="inlineStr">
        <is>
          <t>Outras</t>
        </is>
      </c>
      <c r="D1759" s="67" t="inlineStr">
        <is>
          <t>Renata Francisco Becker</t>
        </is>
      </c>
      <c r="E1759" s="62" t="n">
        <v>44701</v>
      </c>
      <c r="F1759" s="67" t="inlineStr">
        <is>
          <t>2ª Vara Da Fazenda</t>
        </is>
      </c>
    </row>
    <row r="1760">
      <c r="A1760" s="40" t="inlineStr">
        <is>
          <t>0000300-22.2020.5.12.0027</t>
        </is>
      </c>
      <c r="B1760" s="40" t="inlineStr">
        <is>
          <t>Outras</t>
        </is>
      </c>
      <c r="D1760" s="67" t="inlineStr">
        <is>
          <t>Renata Francisco Becker</t>
        </is>
      </c>
      <c r="E1760" s="62" t="n">
        <v>44701</v>
      </c>
      <c r="F1760" s="67" t="inlineStr">
        <is>
          <t>2ª Vara Do Trabalho De Criciuma</t>
        </is>
      </c>
    </row>
    <row r="1761">
      <c r="A1761" s="40" t="inlineStr">
        <is>
          <t>5002212-39.2019.8.24.0020</t>
        </is>
      </c>
      <c r="B1761" s="40" t="inlineStr">
        <is>
          <t>Outras</t>
        </is>
      </c>
      <c r="D1761" s="67" t="inlineStr">
        <is>
          <t>Renata Francisco Becker</t>
        </is>
      </c>
      <c r="E1761" s="62" t="n">
        <v>44701</v>
      </c>
      <c r="F1761" s="67" t="inlineStr">
        <is>
          <t>Juizo Da 1ª Vara Da Fazenda Publica Da Comarca De Criciuma</t>
        </is>
      </c>
    </row>
    <row r="1762">
      <c r="A1762" s="40" t="inlineStr">
        <is>
          <t>5003254-39.2020.8.24.0069</t>
        </is>
      </c>
      <c r="B1762" s="40" t="inlineStr">
        <is>
          <t>Outras</t>
        </is>
      </c>
      <c r="D1762" s="67" t="inlineStr">
        <is>
          <t>Renata Francisco Becker</t>
        </is>
      </c>
      <c r="E1762" s="62" t="n">
        <v>44701</v>
      </c>
      <c r="F1762" s="67" t="inlineStr">
        <is>
          <t>Juizo Da 1ª Vara Da Comarca De Sombrio</t>
        </is>
      </c>
    </row>
    <row r="1763">
      <c r="A1763" s="40" t="inlineStr">
        <is>
          <t>5005180-42.2019.8.24.0020</t>
        </is>
      </c>
      <c r="B1763" s="40" t="inlineStr">
        <is>
          <t>Outras</t>
        </is>
      </c>
      <c r="D1763" s="67" t="inlineStr">
        <is>
          <t>Renata Francisco Becker</t>
        </is>
      </c>
      <c r="E1763" s="62" t="n">
        <v>44701</v>
      </c>
      <c r="F1763" s="67" t="inlineStr">
        <is>
          <t>Juizo Da Juizado Especial Civel Da Comarca De Criciuma</t>
        </is>
      </c>
    </row>
    <row r="1764">
      <c r="A1764" s="40" t="inlineStr">
        <is>
          <t>0000163-15.2020.5.12.0003</t>
        </is>
      </c>
      <c r="B1764" s="40" t="inlineStr">
        <is>
          <t>Outras</t>
        </is>
      </c>
      <c r="D1764" s="67" t="inlineStr">
        <is>
          <t>Renata Francisco Becker</t>
        </is>
      </c>
      <c r="E1764" s="62" t="n">
        <v>44701</v>
      </c>
      <c r="F1764" s="67" t="inlineStr">
        <is>
          <t>1ª Vara Do Trabalho De Criciuma</t>
        </is>
      </c>
    </row>
    <row r="1765">
      <c r="A1765" s="40" t="inlineStr">
        <is>
          <t>0000772-50.2018.8.24.0175</t>
        </is>
      </c>
      <c r="B1765" s="40" t="inlineStr">
        <is>
          <t>Outras</t>
        </is>
      </c>
      <c r="D1765" s="67" t="inlineStr">
        <is>
          <t>Renata Francisco Becker</t>
        </is>
      </c>
      <c r="E1765" s="62" t="n">
        <v>44701</v>
      </c>
      <c r="F1765" s="67" t="inlineStr">
        <is>
          <t>Unidade Regional De Direito Bancario Do Litoral Sul Catarinense</t>
        </is>
      </c>
    </row>
    <row r="1766">
      <c r="A1766" s="40" t="inlineStr">
        <is>
          <t>5001390-97.2019.8.24.0069</t>
        </is>
      </c>
      <c r="B1766" s="40" t="inlineStr">
        <is>
          <t>Outras</t>
        </is>
      </c>
      <c r="D1766" s="67" t="inlineStr">
        <is>
          <t>Renata Francisco Becker</t>
        </is>
      </c>
      <c r="E1766" s="62" t="n">
        <v>44701</v>
      </c>
      <c r="F1766" s="67" t="inlineStr">
        <is>
          <t>Juizo Da 1ª Vara Da Comarca De Sombrio</t>
        </is>
      </c>
    </row>
    <row r="1767">
      <c r="A1767" s="40" t="inlineStr">
        <is>
          <t>0000241-47.2020.5.12.0055</t>
        </is>
      </c>
      <c r="B1767" s="40" t="inlineStr">
        <is>
          <t>Outras</t>
        </is>
      </c>
      <c r="D1767" s="67" t="inlineStr">
        <is>
          <t>Renata Francisco Becker</t>
        </is>
      </c>
      <c r="E1767" s="62" t="n">
        <v>44701</v>
      </c>
      <c r="F1767" s="67" t="inlineStr">
        <is>
          <t>4ª Vara Do Trabalho De Criciuma</t>
        </is>
      </c>
    </row>
    <row r="1768">
      <c r="A1768" s="40" t="inlineStr">
        <is>
          <t>5008618-76.2019.8.24.0020</t>
        </is>
      </c>
      <c r="B1768" s="40" t="inlineStr">
        <is>
          <t>Outras</t>
        </is>
      </c>
      <c r="D1768" s="67" t="inlineStr">
        <is>
          <t>Renata Francisco Becker</t>
        </is>
      </c>
      <c r="E1768" s="62" t="n">
        <v>44701</v>
      </c>
      <c r="F1768" s="67" t="inlineStr">
        <is>
          <t>Juizo Da 2ª Vara Da Fazenda Publica Da Comarca De Criciuma</t>
        </is>
      </c>
    </row>
    <row r="1769">
      <c r="A1769" s="40" t="inlineStr">
        <is>
          <t>5003155-70.2020.8.24.0004</t>
        </is>
      </c>
      <c r="B1769" s="40" t="inlineStr">
        <is>
          <t>Outras</t>
        </is>
      </c>
      <c r="D1769" s="67" t="inlineStr">
        <is>
          <t>Renata Francisco Becker</t>
        </is>
      </c>
      <c r="E1769" s="62" t="n">
        <v>44701</v>
      </c>
      <c r="F1769" s="67" t="inlineStr">
        <is>
          <t>Juizo Da 2ª Vara Civel Da Comarca De Ararangua</t>
        </is>
      </c>
    </row>
    <row r="1770">
      <c r="A1770" s="40" t="inlineStr">
        <is>
          <t>0302110-18.2015.8.24.0069</t>
        </is>
      </c>
      <c r="B1770" s="40" t="inlineStr">
        <is>
          <t>Outras</t>
        </is>
      </c>
      <c r="D1770" s="67" t="inlineStr">
        <is>
          <t>Renata Francisco Becker</t>
        </is>
      </c>
      <c r="E1770" s="62" t="n">
        <v>44701</v>
      </c>
      <c r="F1770" s="67" t="inlineStr">
        <is>
          <t>1ª Vara</t>
        </is>
      </c>
    </row>
    <row r="1771">
      <c r="A1771" s="40" t="inlineStr">
        <is>
          <t>0000299-12.2020.5.12.0003</t>
        </is>
      </c>
      <c r="B1771" s="40" t="inlineStr">
        <is>
          <t>Outras</t>
        </is>
      </c>
      <c r="D1771" s="67" t="inlineStr">
        <is>
          <t>Renata Francisco Becker</t>
        </is>
      </c>
      <c r="E1771" s="62" t="n">
        <v>44701</v>
      </c>
      <c r="F1771" s="67" t="inlineStr">
        <is>
          <t>1ª Vara Do Trabalho De Criciuma</t>
        </is>
      </c>
    </row>
    <row r="1772">
      <c r="A1772" s="40" t="inlineStr">
        <is>
          <t>5006820-80.2019.8.24.0020</t>
        </is>
      </c>
      <c r="B1772" s="40" t="inlineStr">
        <is>
          <t>Outras</t>
        </is>
      </c>
      <c r="D1772" s="67" t="inlineStr">
        <is>
          <t>Renata Francisco Becker</t>
        </is>
      </c>
      <c r="E1772" s="62" t="n">
        <v>44701</v>
      </c>
      <c r="F1772" s="67" t="inlineStr">
        <is>
          <t>Juizo Da Juizado Especial Civel Da Comarca De Criciuma</t>
        </is>
      </c>
    </row>
    <row r="1773">
      <c r="A1773" s="40" t="inlineStr">
        <is>
          <t>0000236-12.2020.5.12.0027</t>
        </is>
      </c>
      <c r="B1773" s="40" t="inlineStr">
        <is>
          <t>Outras</t>
        </is>
      </c>
      <c r="D1773" s="67" t="inlineStr">
        <is>
          <t>Renata Francisco Becker</t>
        </is>
      </c>
      <c r="E1773" s="62" t="n">
        <v>44701</v>
      </c>
      <c r="F1773" s="67" t="inlineStr">
        <is>
          <t>2ª Vara Do Trabalho De Criciuma</t>
        </is>
      </c>
    </row>
    <row r="1774">
      <c r="A1774" s="40" t="inlineStr">
        <is>
          <t>5009940-34.2019.8.24.0020</t>
        </is>
      </c>
      <c r="B1774" s="40" t="inlineStr">
        <is>
          <t>Outras</t>
        </is>
      </c>
      <c r="D1774" s="67" t="inlineStr">
        <is>
          <t>Renata Francisco Becker</t>
        </is>
      </c>
      <c r="E1774" s="62" t="n">
        <v>44701</v>
      </c>
      <c r="F1774" s="67" t="inlineStr">
        <is>
          <t>Juizo Do Juizado Especial Civel Da Comarca De Criciuma</t>
        </is>
      </c>
    </row>
    <row r="1775">
      <c r="A1775" s="40" t="inlineStr">
        <is>
          <t>0000115-56.2020.5.12.0003</t>
        </is>
      </c>
      <c r="B1775" s="40" t="inlineStr">
        <is>
          <t>Outras</t>
        </is>
      </c>
      <c r="D1775" s="67" t="inlineStr">
        <is>
          <t>Renata Francisco Becker</t>
        </is>
      </c>
      <c r="E1775" s="62" t="n">
        <v>44701</v>
      </c>
      <c r="F1775" s="67" t="inlineStr">
        <is>
          <t>1ª Vara Do Trabalho De Criciuma</t>
        </is>
      </c>
    </row>
    <row r="1776">
      <c r="A1776" s="40" t="inlineStr">
        <is>
          <t>5007644-39.2019.8.24.0020</t>
        </is>
      </c>
      <c r="B1776" s="40" t="inlineStr">
        <is>
          <t>Outras</t>
        </is>
      </c>
      <c r="D1776" s="67" t="inlineStr">
        <is>
          <t>Renata Francisco Becker</t>
        </is>
      </c>
      <c r="E1776" s="62" t="n">
        <v>44701</v>
      </c>
      <c r="F1776" s="67" t="inlineStr">
        <is>
          <t>Juizo Da 1ª Vara Da Fazenda Publica Da Comarca De Criciuma</t>
        </is>
      </c>
    </row>
    <row r="1777">
      <c r="A1777" s="40" t="inlineStr">
        <is>
          <t>0000236-84.2020.5.12.0003</t>
        </is>
      </c>
      <c r="B1777" s="40" t="inlineStr">
        <is>
          <t>Outras</t>
        </is>
      </c>
      <c r="D1777" s="67" t="inlineStr">
        <is>
          <t>Renata Francisco Becker</t>
        </is>
      </c>
      <c r="E1777" s="62" t="n">
        <v>44701</v>
      </c>
      <c r="F1777" s="67" t="inlineStr">
        <is>
          <t>1ª Vara Do Trabalho De Criciuma</t>
        </is>
      </c>
    </row>
    <row r="1778">
      <c r="A1778" s="40" t="inlineStr">
        <is>
          <t>0000146-76.2020.5.12.0003</t>
        </is>
      </c>
      <c r="B1778" s="40" t="inlineStr">
        <is>
          <t>Outras</t>
        </is>
      </c>
      <c r="D1778" s="67" t="inlineStr">
        <is>
          <t>Renata Francisco Becker</t>
        </is>
      </c>
      <c r="E1778" s="62" t="n">
        <v>44701</v>
      </c>
      <c r="F1778" s="67" t="inlineStr">
        <is>
          <t>1ª Vara Do Trabalho De Criciuma</t>
        </is>
      </c>
    </row>
    <row r="1779">
      <c r="A1779" s="40" t="inlineStr">
        <is>
          <t>0000194-35.2020.5.12.0003</t>
        </is>
      </c>
      <c r="B1779" s="40" t="inlineStr">
        <is>
          <t>Outras</t>
        </is>
      </c>
      <c r="D1779" s="67" t="inlineStr">
        <is>
          <t>Renata Francisco Becker</t>
        </is>
      </c>
      <c r="E1779" s="62" t="n">
        <v>44701</v>
      </c>
      <c r="F1779" s="67" t="inlineStr">
        <is>
          <t>1ª Vara Do Trabalho De Criciuma</t>
        </is>
      </c>
    </row>
    <row r="1780">
      <c r="A1780" s="40" t="inlineStr">
        <is>
          <t>5005728-67.2019.8.24.0020</t>
        </is>
      </c>
      <c r="B1780" s="40" t="inlineStr">
        <is>
          <t>Outras</t>
        </is>
      </c>
      <c r="D1780" s="67" t="inlineStr">
        <is>
          <t>Renata Francisco Becker</t>
        </is>
      </c>
      <c r="E1780" s="62" t="n">
        <v>44701</v>
      </c>
      <c r="F1780" s="67" t="inlineStr">
        <is>
          <t>Juizo Da Juizado Especial Civel Da Comarca De Criciuma</t>
        </is>
      </c>
    </row>
    <row r="1781">
      <c r="A1781" s="40" t="inlineStr">
        <is>
          <t>0000195-45.2020.5.12.0027</t>
        </is>
      </c>
      <c r="B1781" s="40" t="inlineStr">
        <is>
          <t>Outras</t>
        </is>
      </c>
      <c r="D1781" s="67" t="inlineStr">
        <is>
          <t>Renata Francisco Becker</t>
        </is>
      </c>
      <c r="E1781" s="62" t="n">
        <v>44701</v>
      </c>
      <c r="F1781" s="67" t="inlineStr">
        <is>
          <t>2ª Vara Do Trabalho De Criciuma</t>
        </is>
      </c>
    </row>
    <row r="1782">
      <c r="A1782" s="40" t="inlineStr">
        <is>
          <t>5006190-87.2020.8.24.0020</t>
        </is>
      </c>
      <c r="B1782" s="40" t="inlineStr">
        <is>
          <t>Outras</t>
        </is>
      </c>
      <c r="D1782" s="67" t="inlineStr">
        <is>
          <t>Renata Francisco Becker</t>
        </is>
      </c>
      <c r="E1782" s="62" t="n">
        <v>44701</v>
      </c>
      <c r="F1782" s="67" t="inlineStr">
        <is>
          <t>Juizo Da Juizado Especial Civel Da Comarca De Criciuma</t>
        </is>
      </c>
    </row>
    <row r="1783">
      <c r="A1783" s="40" t="inlineStr">
        <is>
          <t>0307037-38.2019.8.24.0020</t>
        </is>
      </c>
      <c r="B1783" s="40" t="inlineStr">
        <is>
          <t>Outras</t>
        </is>
      </c>
      <c r="D1783" s="67" t="inlineStr">
        <is>
          <t>Renata Francisco Becker</t>
        </is>
      </c>
      <c r="E1783" s="62" t="n">
        <v>44701</v>
      </c>
      <c r="F1783" s="67" t="inlineStr">
        <is>
          <t>1ª Vara Criminal</t>
        </is>
      </c>
    </row>
    <row r="1784">
      <c r="A1784" s="40" t="inlineStr">
        <is>
          <t>0000127-95.2020.5.12.0027</t>
        </is>
      </c>
      <c r="B1784" s="40" t="inlineStr">
        <is>
          <t>Outras</t>
        </is>
      </c>
      <c r="D1784" s="67" t="inlineStr">
        <is>
          <t>Renata Francisco Becker</t>
        </is>
      </c>
      <c r="E1784" s="62" t="n">
        <v>44701</v>
      </c>
      <c r="F1784" s="67" t="inlineStr">
        <is>
          <t>2ª Vara Do Trabalho De Criciuma</t>
        </is>
      </c>
    </row>
    <row r="1785">
      <c r="A1785" s="40" t="inlineStr">
        <is>
          <t>0306625-78.2017.8.24.0020</t>
        </is>
      </c>
      <c r="B1785" s="40" t="inlineStr">
        <is>
          <t>Outras</t>
        </is>
      </c>
      <c r="D1785" s="67" t="inlineStr">
        <is>
          <t>Renata Francisco Becker</t>
        </is>
      </c>
      <c r="E1785" s="62" t="n">
        <v>44701</v>
      </c>
      <c r="F1785" s="67" t="inlineStr">
        <is>
          <t>Vara Da Infancia E Da Juventude E Anexos</t>
        </is>
      </c>
    </row>
    <row r="1786">
      <c r="A1786" s="40" t="inlineStr">
        <is>
          <t>5005625-60.2019.8.24.0020</t>
        </is>
      </c>
      <c r="B1786" s="40" t="inlineStr">
        <is>
          <t>Outras</t>
        </is>
      </c>
      <c r="D1786" s="67" t="inlineStr">
        <is>
          <t>Renata Francisco Becker</t>
        </is>
      </c>
      <c r="E1786" s="62" t="n">
        <v>44701</v>
      </c>
      <c r="F1786" s="67" t="inlineStr">
        <is>
          <t>Juizo Da 2ª Vara Da Fazenda Publica Da Comarca De Criciuma</t>
        </is>
      </c>
    </row>
    <row r="1787">
      <c r="A1787" s="40" t="inlineStr">
        <is>
          <t>0000065-55.2020.5.12.0027</t>
        </is>
      </c>
      <c r="B1787" s="40" t="inlineStr">
        <is>
          <t>Outras</t>
        </is>
      </c>
      <c r="D1787" s="67" t="inlineStr">
        <is>
          <t>Renata Francisco Becker</t>
        </is>
      </c>
      <c r="E1787" s="62" t="n">
        <v>44701</v>
      </c>
      <c r="F1787" s="67" t="inlineStr">
        <is>
          <t>2ª Vara Do Trabalho De Criciuma</t>
        </is>
      </c>
    </row>
    <row r="1788">
      <c r="A1788" s="40" t="inlineStr">
        <is>
          <t>5010125-72.2019.8.24.0020</t>
        </is>
      </c>
      <c r="B1788" s="40" t="inlineStr">
        <is>
          <t>Outras</t>
        </is>
      </c>
      <c r="D1788" s="67" t="inlineStr">
        <is>
          <t>Renata Francisco Becker</t>
        </is>
      </c>
      <c r="E1788" s="62" t="n">
        <v>44701</v>
      </c>
      <c r="F1788" s="67" t="inlineStr">
        <is>
          <t>Juizo Da 1ª Vara Da Fazenda Publica Da Comarca De Criciuma</t>
        </is>
      </c>
    </row>
    <row r="1789">
      <c r="A1789" s="40" t="inlineStr">
        <is>
          <t>0000063-07.2020.5.12.0053</t>
        </is>
      </c>
      <c r="B1789" s="40" t="inlineStr">
        <is>
          <t>Outras</t>
        </is>
      </c>
      <c r="D1789" s="67" t="inlineStr">
        <is>
          <t>Renata Francisco Becker</t>
        </is>
      </c>
      <c r="E1789" s="62" t="n">
        <v>44701</v>
      </c>
      <c r="F1789" s="67" t="inlineStr">
        <is>
          <t>3ª Vara Do Trabalho De Criciuma</t>
        </is>
      </c>
    </row>
    <row r="1790">
      <c r="A1790" s="40" t="inlineStr">
        <is>
          <t>0000085-46.2020.5.12.0027</t>
        </is>
      </c>
      <c r="B1790" s="40" t="inlineStr">
        <is>
          <t>Outras</t>
        </is>
      </c>
      <c r="D1790" s="67" t="inlineStr">
        <is>
          <t>Renata Francisco Becker</t>
        </is>
      </c>
      <c r="E1790" s="62" t="n">
        <v>44701</v>
      </c>
      <c r="F1790" s="67" t="inlineStr">
        <is>
          <t>2ª Vara Do Trabalho De Criciuma</t>
        </is>
      </c>
    </row>
    <row r="1791">
      <c r="A1791" s="40" t="inlineStr">
        <is>
          <t>5004373-22.2019.8.24.0020</t>
        </is>
      </c>
      <c r="B1791" s="40" t="inlineStr">
        <is>
          <t>Outras</t>
        </is>
      </c>
      <c r="D1791" s="67" t="inlineStr">
        <is>
          <t>Renata Francisco Becker</t>
        </is>
      </c>
      <c r="E1791" s="62" t="n">
        <v>44701</v>
      </c>
      <c r="F1791" s="67" t="inlineStr">
        <is>
          <t>Juizo Da 2ª Vara Da Fazenda Publica Da Comarca De Criciuma</t>
        </is>
      </c>
    </row>
    <row r="1792">
      <c r="A1792" s="40" t="inlineStr">
        <is>
          <t>5000329-43.2020.8.24.0175</t>
        </is>
      </c>
      <c r="B1792" s="40" t="inlineStr">
        <is>
          <t>Outras</t>
        </is>
      </c>
      <c r="D1792" s="67" t="inlineStr">
        <is>
          <t>Renata Francisco Becker</t>
        </is>
      </c>
      <c r="E1792" s="62" t="n">
        <v>44701</v>
      </c>
      <c r="F1792" s="67" t="inlineStr">
        <is>
          <t>Juizo Da Vara Unica Da Comarca De Meleiro</t>
        </is>
      </c>
    </row>
    <row r="1793">
      <c r="A1793" s="40" t="inlineStr">
        <is>
          <t>0000758-92.2019.5.12.0053</t>
        </is>
      </c>
      <c r="B1793" s="40" t="inlineStr">
        <is>
          <t>Outras</t>
        </is>
      </c>
      <c r="D1793" s="67" t="inlineStr">
        <is>
          <t>Renata Francisco Becker</t>
        </is>
      </c>
      <c r="E1793" s="62" t="n">
        <v>44701</v>
      </c>
      <c r="F1793" s="67" t="inlineStr">
        <is>
          <t>3ª Vara Do Trabalho De Criciuma</t>
        </is>
      </c>
    </row>
    <row r="1794">
      <c r="A1794" s="40" t="inlineStr">
        <is>
          <t>0001410-80.2017.5.12.0053</t>
        </is>
      </c>
      <c r="B1794" s="40" t="inlineStr">
        <is>
          <t>Outras</t>
        </is>
      </c>
      <c r="D1794" s="67" t="inlineStr">
        <is>
          <t>Renata Francisco Becker</t>
        </is>
      </c>
      <c r="E1794" s="62" t="n">
        <v>44701</v>
      </c>
      <c r="F1794" s="67" t="inlineStr">
        <is>
          <t>3ª Vara Do Trabalho De Criciuma</t>
        </is>
      </c>
    </row>
    <row r="1795">
      <c r="A1795" s="40" t="inlineStr">
        <is>
          <t>5017360-63.2019.4.04.7204</t>
        </is>
      </c>
      <c r="B1795" s="40" t="inlineStr">
        <is>
          <t>Outras</t>
        </is>
      </c>
      <c r="D1795" s="67" t="inlineStr">
        <is>
          <t>Renata Francisco Becker</t>
        </is>
      </c>
      <c r="E1795" s="62" t="n">
        <v>44701</v>
      </c>
      <c r="F1795" s="67" t="inlineStr">
        <is>
          <t>Juizo Substituto Da 4ª Vf De Criciuma</t>
        </is>
      </c>
    </row>
    <row r="1796">
      <c r="A1796" s="40" t="inlineStr">
        <is>
          <t>5008587-29.2019.4.04.7204</t>
        </is>
      </c>
      <c r="B1796" s="40" t="inlineStr">
        <is>
          <t>Outras</t>
        </is>
      </c>
      <c r="D1796" s="67" t="inlineStr">
        <is>
          <t>Renata Francisco Becker</t>
        </is>
      </c>
      <c r="E1796" s="62" t="n">
        <v>44701</v>
      </c>
      <c r="F1796" s="67" t="inlineStr">
        <is>
          <t>Juizo Substituto Da 1ª Vf De Laguna</t>
        </is>
      </c>
    </row>
    <row r="1797">
      <c r="A1797" s="40" t="inlineStr">
        <is>
          <t>0302097-11.2016.8.24.0028</t>
        </is>
      </c>
      <c r="B1797" s="40" t="inlineStr">
        <is>
          <t>Outras</t>
        </is>
      </c>
      <c r="D1797" s="67" t="inlineStr">
        <is>
          <t>Renata Francisco Becker</t>
        </is>
      </c>
      <c r="E1797" s="62" t="n">
        <v>44701</v>
      </c>
      <c r="F1797" s="67" t="inlineStr">
        <is>
          <t>1ª Vara</t>
        </is>
      </c>
    </row>
    <row r="1798">
      <c r="A1798" s="40" t="inlineStr">
        <is>
          <t>0300601-39.2019.8.24.0028</t>
        </is>
      </c>
      <c r="B1798" s="40" t="inlineStr">
        <is>
          <t>Outras</t>
        </is>
      </c>
      <c r="D1798" s="67" t="inlineStr">
        <is>
          <t>Renata Francisco Becker</t>
        </is>
      </c>
      <c r="E1798" s="62" t="n">
        <v>44701</v>
      </c>
      <c r="F1798" s="67" t="inlineStr">
        <is>
          <t>1ª Vara</t>
        </is>
      </c>
    </row>
    <row r="1799">
      <c r="A1799" s="40" t="inlineStr">
        <is>
          <t>5001241-54.2019.8.24.0020</t>
        </is>
      </c>
      <c r="B1799" s="40" t="inlineStr">
        <is>
          <t>Outras</t>
        </is>
      </c>
      <c r="D1799" s="67" t="inlineStr">
        <is>
          <t>Renata Francisco Becker</t>
        </is>
      </c>
      <c r="E1799" s="62" t="n">
        <v>44701</v>
      </c>
      <c r="F1799" s="67" t="inlineStr">
        <is>
          <t>Juizo Da 1ª Vara Da Fazenda Publica Da Comarca De Criciuma</t>
        </is>
      </c>
    </row>
    <row r="1800">
      <c r="A1800" s="40" t="inlineStr">
        <is>
          <t>0305467-17.2019.8.24.0020</t>
        </is>
      </c>
      <c r="B1800" s="40" t="inlineStr">
        <is>
          <t>Outras</t>
        </is>
      </c>
      <c r="D1800" s="67" t="inlineStr">
        <is>
          <t>Renata Francisco Becker</t>
        </is>
      </c>
      <c r="E1800" s="62" t="n">
        <v>44701</v>
      </c>
      <c r="F1800" s="67" t="inlineStr">
        <is>
          <t>1ª Vara Da Fazenda</t>
        </is>
      </c>
    </row>
    <row r="1801">
      <c r="A1801" s="40" t="inlineStr">
        <is>
          <t>0302264-57.2018.8.24.0028</t>
        </is>
      </c>
      <c r="B1801" s="40" t="inlineStr">
        <is>
          <t>Outras</t>
        </is>
      </c>
      <c r="D1801" s="67" t="inlineStr">
        <is>
          <t>Renata Francisco Becker</t>
        </is>
      </c>
      <c r="E1801" s="62" t="n">
        <v>44701</v>
      </c>
      <c r="F1801" s="67" t="inlineStr">
        <is>
          <t>1ª Vara</t>
        </is>
      </c>
    </row>
    <row r="1802">
      <c r="A1802" s="40" t="inlineStr">
        <is>
          <t>5004792-42.2019.8.24.0020</t>
        </is>
      </c>
      <c r="B1802" s="40" t="inlineStr">
        <is>
          <t>Outras</t>
        </is>
      </c>
      <c r="D1802" s="67" t="inlineStr">
        <is>
          <t>Renata Francisco Becker</t>
        </is>
      </c>
      <c r="E1802" s="62" t="n">
        <v>44701</v>
      </c>
      <c r="F1802" s="67" t="inlineStr">
        <is>
          <t>Juizo Da 2ª Vara Civel Da Comarca De Criciuma</t>
        </is>
      </c>
    </row>
    <row r="1803">
      <c r="A1803" s="40" t="inlineStr">
        <is>
          <t>5000823-19.2019.8.24.0020</t>
        </is>
      </c>
      <c r="B1803" s="40" t="inlineStr">
        <is>
          <t>Outras</t>
        </is>
      </c>
      <c r="D1803" s="67" t="inlineStr">
        <is>
          <t>Renata Francisco Becker</t>
        </is>
      </c>
      <c r="E1803" s="62" t="n">
        <v>44701</v>
      </c>
      <c r="F1803" s="67" t="inlineStr">
        <is>
          <t>Juizo Da 1ª Vara Da Fazenda Publica Da Comarca De Criciuma</t>
        </is>
      </c>
    </row>
    <row r="1804">
      <c r="A1804" s="40" t="inlineStr">
        <is>
          <t>0302913-12.2019.8.24.0020</t>
        </is>
      </c>
      <c r="B1804" s="40" t="inlineStr">
        <is>
          <t>Outras</t>
        </is>
      </c>
      <c r="D1804" s="67" t="inlineStr">
        <is>
          <t>Renata Francisco Becker</t>
        </is>
      </c>
      <c r="E1804" s="62" t="n">
        <v>44701</v>
      </c>
      <c r="F1804" s="67" t="inlineStr">
        <is>
          <t>Juizado Especial Civel</t>
        </is>
      </c>
    </row>
    <row r="1805">
      <c r="A1805" s="40" t="inlineStr">
        <is>
          <t>0305373-69.2019.8.24.0020</t>
        </is>
      </c>
      <c r="B1805" s="40" t="inlineStr">
        <is>
          <t>Outras</t>
        </is>
      </c>
      <c r="D1805" s="67" t="inlineStr">
        <is>
          <t>Renata Francisco Becker</t>
        </is>
      </c>
      <c r="E1805" s="62" t="n">
        <v>44701</v>
      </c>
      <c r="F1805" s="67" t="inlineStr">
        <is>
          <t>Juizado Especial Civel</t>
        </is>
      </c>
    </row>
    <row r="1806">
      <c r="A1806" s="40" t="inlineStr">
        <is>
          <t>5000825-86.2019.8.24.0020</t>
        </is>
      </c>
      <c r="B1806" s="40" t="inlineStr">
        <is>
          <t>Outras</t>
        </is>
      </c>
      <c r="D1806" s="67" t="inlineStr">
        <is>
          <t>Renata Francisco Becker</t>
        </is>
      </c>
      <c r="E1806" s="62" t="n">
        <v>44701</v>
      </c>
      <c r="F1806" s="67" t="inlineStr">
        <is>
          <t>Juizo Da 1ª Vara Da Fazenda Publica Da Comarca De Criciuma</t>
        </is>
      </c>
    </row>
    <row r="1807">
      <c r="A1807" s="40" t="inlineStr">
        <is>
          <t>0310946-25.2018.8.24.0020</t>
        </is>
      </c>
      <c r="B1807" s="40" t="inlineStr">
        <is>
          <t>Outras</t>
        </is>
      </c>
      <c r="D1807" s="67" t="inlineStr">
        <is>
          <t>Renata Francisco Becker</t>
        </is>
      </c>
      <c r="E1807" s="62" t="n">
        <v>44701</v>
      </c>
      <c r="F1807" s="67" t="inlineStr">
        <is>
          <t>1ª Vara Da Fazenda</t>
        </is>
      </c>
    </row>
    <row r="1808">
      <c r="A1808" s="40" t="inlineStr">
        <is>
          <t>0302365-47.2018.8.24.0076</t>
        </is>
      </c>
      <c r="B1808" s="40" t="inlineStr">
        <is>
          <t>Outras</t>
        </is>
      </c>
      <c r="D1808" s="67" t="inlineStr">
        <is>
          <t>Renata Francisco Becker</t>
        </is>
      </c>
      <c r="E1808" s="62" t="n">
        <v>44701</v>
      </c>
      <c r="F1808" s="67" t="inlineStr">
        <is>
          <t>Vara Unica</t>
        </is>
      </c>
    </row>
    <row r="1809">
      <c r="A1809" s="40" t="inlineStr">
        <is>
          <t>0017976-93.2016.8.21.0003</t>
        </is>
      </c>
      <c r="B1809" s="40" t="inlineStr">
        <is>
          <t>Outras</t>
        </is>
      </c>
      <c r="D1809" s="67" t="inlineStr">
        <is>
          <t>Renata Francisco Becker</t>
        </is>
      </c>
      <c r="E1809" s="62" t="n">
        <v>44701</v>
      </c>
      <c r="F1809" s="67" t="inlineStr">
        <is>
          <t>1ª Vara De Familia E Sucessoes</t>
        </is>
      </c>
    </row>
    <row r="1810">
      <c r="A1810" s="40" t="inlineStr">
        <is>
          <t>0301549-49.2017.8.24.0028</t>
        </is>
      </c>
      <c r="B1810" s="40" t="inlineStr">
        <is>
          <t>Outras</t>
        </is>
      </c>
      <c r="D1810" s="67" t="inlineStr">
        <is>
          <t>Renata Francisco Becker</t>
        </is>
      </c>
      <c r="E1810" s="62" t="n">
        <v>44701</v>
      </c>
      <c r="F1810" s="67" t="inlineStr">
        <is>
          <t>1ª Vara</t>
        </is>
      </c>
    </row>
    <row r="1811">
      <c r="A1811" s="40" t="inlineStr">
        <is>
          <t>0300657-09.2018.8.24.0028</t>
        </is>
      </c>
      <c r="B1811" s="40" t="inlineStr">
        <is>
          <t>Outras</t>
        </is>
      </c>
      <c r="D1811" s="67" t="inlineStr">
        <is>
          <t>Renata Francisco Becker</t>
        </is>
      </c>
      <c r="E1811" s="62" t="n">
        <v>44701</v>
      </c>
      <c r="F1811" s="67" t="inlineStr">
        <is>
          <t>1ª Vara</t>
        </is>
      </c>
    </row>
    <row r="1812">
      <c r="A1812" s="40" t="inlineStr">
        <is>
          <t>0302424-53.2016.8.24.0028</t>
        </is>
      </c>
      <c r="B1812" s="40" t="inlineStr">
        <is>
          <t>Outras</t>
        </is>
      </c>
      <c r="D1812" s="67" t="inlineStr">
        <is>
          <t>Renata Francisco Becker</t>
        </is>
      </c>
      <c r="E1812" s="62" t="n">
        <v>44701</v>
      </c>
      <c r="F1812" s="67" t="inlineStr">
        <is>
          <t>1ª Vara Icara</t>
        </is>
      </c>
    </row>
    <row r="1813">
      <c r="A1813" s="40" t="inlineStr">
        <is>
          <t>0301553-86.2017.8.24.0028</t>
        </is>
      </c>
      <c r="B1813" s="40" t="inlineStr">
        <is>
          <t>Outras</t>
        </is>
      </c>
      <c r="D1813" s="67" t="inlineStr">
        <is>
          <t>Renata Francisco Becker</t>
        </is>
      </c>
      <c r="E1813" s="62" t="n">
        <v>44701</v>
      </c>
      <c r="F1813" s="67" t="inlineStr">
        <is>
          <t>1ª Vara</t>
        </is>
      </c>
    </row>
    <row r="1814">
      <c r="A1814" s="40" t="inlineStr">
        <is>
          <t>0000387-46.2018.5.12.0027</t>
        </is>
      </c>
      <c r="B1814" s="40" t="inlineStr">
        <is>
          <t>Outras</t>
        </is>
      </c>
      <c r="D1814" s="67" t="inlineStr">
        <is>
          <t>Renata Francisco Becker</t>
        </is>
      </c>
      <c r="E1814" s="62" t="n">
        <v>44701</v>
      </c>
      <c r="F1814" s="67" t="inlineStr">
        <is>
          <t>2ª Vara Do Trabalho De Criciuma</t>
        </is>
      </c>
    </row>
    <row r="1815">
      <c r="A1815" s="40" t="inlineStr">
        <is>
          <t>0001192-33.2017.5.12.0027</t>
        </is>
      </c>
      <c r="B1815" s="40" t="inlineStr">
        <is>
          <t>Outras</t>
        </is>
      </c>
      <c r="D1815" s="67" t="inlineStr">
        <is>
          <t>Renata Francisco Becker</t>
        </is>
      </c>
      <c r="E1815" s="62" t="n">
        <v>44701</v>
      </c>
      <c r="F1815" s="67" t="inlineStr">
        <is>
          <t>2ª Vara Do Trabalho De Criciuma</t>
        </is>
      </c>
    </row>
    <row r="1816">
      <c r="A1816" s="40" t="inlineStr">
        <is>
          <t>0000345-16.2018.5.12.0053</t>
        </is>
      </c>
      <c r="B1816" s="40" t="inlineStr">
        <is>
          <t>Outras</t>
        </is>
      </c>
      <c r="D1816" s="67" t="inlineStr">
        <is>
          <t>Renata Francisco Becker</t>
        </is>
      </c>
      <c r="E1816" s="62" t="n">
        <v>44701</v>
      </c>
      <c r="F1816" s="67" t="inlineStr">
        <is>
          <t>3ª Vara Do Trabalho De Criciuma</t>
        </is>
      </c>
    </row>
    <row r="1817">
      <c r="A1817" s="40" t="inlineStr">
        <is>
          <t>0302111-24.2018.8.24.0028</t>
        </is>
      </c>
      <c r="B1817" s="40" t="inlineStr">
        <is>
          <t>Outras</t>
        </is>
      </c>
      <c r="D1817" s="67" t="inlineStr">
        <is>
          <t>Renata Francisco Becker</t>
        </is>
      </c>
      <c r="E1817" s="62" t="n">
        <v>44701</v>
      </c>
      <c r="F1817" s="67" t="inlineStr">
        <is>
          <t>1ª Vara</t>
        </is>
      </c>
    </row>
    <row r="1818">
      <c r="A1818" s="40" t="inlineStr">
        <is>
          <t>0000309-52.2018.5.12.0027</t>
        </is>
      </c>
      <c r="B1818" s="40" t="inlineStr">
        <is>
          <t>Outras</t>
        </is>
      </c>
      <c r="D1818" s="67" t="inlineStr">
        <is>
          <t>Renata Francisco Becker</t>
        </is>
      </c>
      <c r="E1818" s="62" t="n">
        <v>44701</v>
      </c>
      <c r="F1818" s="67" t="inlineStr">
        <is>
          <t>2ª Vara Do Trabalho De Criciuma</t>
        </is>
      </c>
    </row>
    <row r="1819">
      <c r="A1819" s="40" t="inlineStr">
        <is>
          <t>0000389-16.2018.5.12.0027</t>
        </is>
      </c>
      <c r="B1819" s="40" t="inlineStr">
        <is>
          <t>Outras</t>
        </is>
      </c>
      <c r="D1819" s="67" t="inlineStr">
        <is>
          <t>Renata Francisco Becker</t>
        </is>
      </c>
      <c r="E1819" s="62" t="n">
        <v>44701</v>
      </c>
      <c r="F1819" s="67" t="inlineStr">
        <is>
          <t>2ª Vara Do Trabalho De Criciuma</t>
        </is>
      </c>
    </row>
    <row r="1820">
      <c r="A1820" s="40" t="inlineStr">
        <is>
          <t>5163675-80.2018.4.04.9666</t>
        </is>
      </c>
      <c r="B1820" s="40" t="inlineStr">
        <is>
          <t>Outras</t>
        </is>
      </c>
      <c r="D1820" s="67" t="inlineStr">
        <is>
          <t>Renata Francisco Becker</t>
        </is>
      </c>
      <c r="E1820" s="62" t="n">
        <v>45552</v>
      </c>
      <c r="F1820" s="67" t="inlineStr">
        <is>
          <t>Presidência</t>
        </is>
      </c>
    </row>
    <row r="1821">
      <c r="A1821" s="40" t="inlineStr">
        <is>
          <t>5163676-65.2018.4.04.9666</t>
        </is>
      </c>
      <c r="B1821" s="40" t="inlineStr">
        <is>
          <t>Outras</t>
        </is>
      </c>
      <c r="D1821" s="67" t="inlineStr">
        <is>
          <t>Renata Francisco Becker</t>
        </is>
      </c>
      <c r="E1821" s="62" t="n">
        <v>45552</v>
      </c>
      <c r="F1821" s="67" t="inlineStr">
        <is>
          <t>Presidência</t>
        </is>
      </c>
    </row>
    <row r="1822">
      <c r="A1822" s="40" t="inlineStr">
        <is>
          <t>0008241-30.2018.8.24.0020</t>
        </is>
      </c>
      <c r="B1822" s="40" t="inlineStr">
        <is>
          <t>Outras</t>
        </is>
      </c>
      <c r="D1822" s="67" t="inlineStr">
        <is>
          <t>Renata Francisco Becker</t>
        </is>
      </c>
      <c r="E1822" s="62" t="n">
        <v>44701</v>
      </c>
      <c r="F1822" s="67" t="inlineStr">
        <is>
          <t>1ª Vara Civel</t>
        </is>
      </c>
    </row>
    <row r="1823">
      <c r="A1823" s="40" t="inlineStr">
        <is>
          <t>0000987-76.2017.5.12.0003</t>
        </is>
      </c>
      <c r="B1823" s="40" t="inlineStr">
        <is>
          <t>Outras</t>
        </is>
      </c>
      <c r="D1823" s="67" t="inlineStr">
        <is>
          <t>Renata Francisco Becker</t>
        </is>
      </c>
      <c r="E1823" s="62" t="n">
        <v>44701</v>
      </c>
      <c r="F1823" s="67" t="inlineStr">
        <is>
          <t>1ª Vara Do Trabalho De Criciuma</t>
        </is>
      </c>
    </row>
    <row r="1824">
      <c r="A1824" s="40" t="inlineStr">
        <is>
          <t>0000394-57.2018.5.12.0053</t>
        </is>
      </c>
      <c r="B1824" s="40" t="inlineStr">
        <is>
          <t>Outras</t>
        </is>
      </c>
      <c r="D1824" s="67" t="inlineStr">
        <is>
          <t>Renata Francisco Becker</t>
        </is>
      </c>
      <c r="E1824" s="62" t="n">
        <v>44701</v>
      </c>
      <c r="F1824" s="67" t="inlineStr">
        <is>
          <t>3ª Vara Do Trabalho De Criciuma</t>
        </is>
      </c>
    </row>
    <row r="1825">
      <c r="A1825" s="40" t="inlineStr">
        <is>
          <t>0302343-60.2018.8.24.0020</t>
        </is>
      </c>
      <c r="B1825" s="40" t="inlineStr">
        <is>
          <t>Outras</t>
        </is>
      </c>
      <c r="D1825" s="67" t="inlineStr">
        <is>
          <t>Renata Francisco Becker</t>
        </is>
      </c>
      <c r="E1825" s="62" t="n">
        <v>44701</v>
      </c>
      <c r="F1825" s="67" t="inlineStr">
        <is>
          <t>1ª Vara Da Fazenda</t>
        </is>
      </c>
    </row>
    <row r="1826">
      <c r="A1826" s="40" t="inlineStr">
        <is>
          <t>0000388-31.2018.5.12.0027</t>
        </is>
      </c>
      <c r="B1826" s="40" t="inlineStr">
        <is>
          <t>Outras</t>
        </is>
      </c>
      <c r="D1826" s="67" t="inlineStr">
        <is>
          <t>Renata Francisco Becker</t>
        </is>
      </c>
      <c r="E1826" s="62" t="n">
        <v>44701</v>
      </c>
      <c r="F1826" s="67" t="inlineStr">
        <is>
          <t>2ª Vara Do Trabalho De Criciuma</t>
        </is>
      </c>
    </row>
    <row r="1827">
      <c r="A1827" s="40" t="inlineStr">
        <is>
          <t>5002661-04.2018.4.04.7204</t>
        </is>
      </c>
      <c r="B1827" s="40" t="inlineStr">
        <is>
          <t>Outras</t>
        </is>
      </c>
      <c r="D1827" s="67" t="inlineStr">
        <is>
          <t>Renata Francisco Becker</t>
        </is>
      </c>
      <c r="E1827" s="62" t="n">
        <v>44701</v>
      </c>
      <c r="F1827" s="67" t="inlineStr">
        <is>
          <t>Juizo Federal Da 3ª Vf De Criciuma</t>
        </is>
      </c>
    </row>
    <row r="1828">
      <c r="A1828" s="40" t="inlineStr">
        <is>
          <t>0303316-15.2018.8.24.0020</t>
        </is>
      </c>
      <c r="B1828" s="40" t="inlineStr">
        <is>
          <t>Outras</t>
        </is>
      </c>
      <c r="D1828" s="67" t="inlineStr">
        <is>
          <t>Renata Francisco Becker</t>
        </is>
      </c>
      <c r="E1828" s="62" t="n">
        <v>44701</v>
      </c>
      <c r="F1828" s="67" t="inlineStr">
        <is>
          <t>1ª Vara Da Fazenda</t>
        </is>
      </c>
    </row>
    <row r="1829">
      <c r="A1829" s="40" t="inlineStr">
        <is>
          <t>0000315-59.2018.5.12.0027</t>
        </is>
      </c>
      <c r="B1829" s="40" t="inlineStr">
        <is>
          <t>Outras</t>
        </is>
      </c>
      <c r="D1829" s="67" t="inlineStr">
        <is>
          <t>Renata Francisco Becker</t>
        </is>
      </c>
      <c r="E1829" s="62" t="n">
        <v>44701</v>
      </c>
      <c r="F1829" s="67" t="inlineStr">
        <is>
          <t>2ª Vara Do Trabalho De Criciuma</t>
        </is>
      </c>
    </row>
    <row r="1830">
      <c r="A1830" s="40" t="inlineStr">
        <is>
          <t>0000314-74.2018.5.12.0027</t>
        </is>
      </c>
      <c r="B1830" s="40" t="inlineStr">
        <is>
          <t>Outras</t>
        </is>
      </c>
      <c r="D1830" s="67" t="inlineStr">
        <is>
          <t>Renata Francisco Becker</t>
        </is>
      </c>
      <c r="E1830" s="62" t="n">
        <v>44701</v>
      </c>
      <c r="F1830" s="67" t="inlineStr">
        <is>
          <t>2ª Vara Do Trabalho De Criciuma</t>
        </is>
      </c>
    </row>
    <row r="1831">
      <c r="A1831" s="40" t="inlineStr">
        <is>
          <t>0000016-04.2018.5.12.0053</t>
        </is>
      </c>
      <c r="B1831" s="40" t="inlineStr">
        <is>
          <t>Outras</t>
        </is>
      </c>
      <c r="D1831" s="67" t="inlineStr">
        <is>
          <t>Renata Francisco Becker</t>
        </is>
      </c>
      <c r="E1831" s="62" t="n">
        <v>44701</v>
      </c>
      <c r="F1831" s="67" t="inlineStr">
        <is>
          <t>3ª Vara Do Trabalho De Criciuma</t>
        </is>
      </c>
    </row>
    <row r="1832">
      <c r="A1832" s="40" t="inlineStr">
        <is>
          <t>5005687-44.2017.4.04.7204</t>
        </is>
      </c>
      <c r="B1832" s="40" t="inlineStr">
        <is>
          <t>Outras</t>
        </is>
      </c>
      <c r="D1832" s="67" t="inlineStr">
        <is>
          <t>Renata Francisco Becker</t>
        </is>
      </c>
      <c r="E1832" s="62" t="n">
        <v>44701</v>
      </c>
      <c r="F1832" s="67" t="inlineStr">
        <is>
          <t>Juizo Federal Da 2ª Vf De Criciuma</t>
        </is>
      </c>
    </row>
    <row r="1833">
      <c r="A1833" s="40" t="inlineStr">
        <is>
          <t>0000191-32.2017.5.12.0053</t>
        </is>
      </c>
      <c r="B1833" s="40" t="inlineStr">
        <is>
          <t>Outras</t>
        </is>
      </c>
      <c r="D1833" s="67" t="inlineStr">
        <is>
          <t>Renata Francisco Becker</t>
        </is>
      </c>
      <c r="E1833" s="62" t="n">
        <v>44701</v>
      </c>
      <c r="F1833" s="67" t="inlineStr">
        <is>
          <t>3ª Vara Do Trabalho De Criciuma</t>
        </is>
      </c>
    </row>
    <row r="1834">
      <c r="A1834" s="40" t="inlineStr">
        <is>
          <t>5129966-88.2017.4.04.9666</t>
        </is>
      </c>
      <c r="B1834" s="40" t="inlineStr">
        <is>
          <t>Outras</t>
        </is>
      </c>
      <c r="D1834" s="67" t="inlineStr">
        <is>
          <t>Renata Francisco Becker</t>
        </is>
      </c>
      <c r="E1834" s="62" t="n">
        <v>45552</v>
      </c>
      <c r="F1834" s="67" t="inlineStr">
        <is>
          <t>Presidência</t>
        </is>
      </c>
    </row>
    <row r="1835">
      <c r="A1835" s="40" t="inlineStr">
        <is>
          <t>5129965-06.2017.4.04.9666</t>
        </is>
      </c>
      <c r="B1835" s="40" t="inlineStr">
        <is>
          <t>Outras</t>
        </is>
      </c>
      <c r="D1835" s="67" t="inlineStr">
        <is>
          <t>Renata Francisco Becker</t>
        </is>
      </c>
      <c r="E1835" s="62" t="n">
        <v>45552</v>
      </c>
      <c r="F1835" s="67" t="inlineStr">
        <is>
          <t>Presidência</t>
        </is>
      </c>
    </row>
    <row r="1836">
      <c r="A1836" s="40" t="inlineStr">
        <is>
          <t>1003804-29.2016.8.26.0153</t>
        </is>
      </c>
      <c r="B1836" s="40" t="inlineStr">
        <is>
          <t>Outras</t>
        </is>
      </c>
      <c r="D1836" s="67" t="inlineStr">
        <is>
          <t>Renata Francisco Becker</t>
        </is>
      </c>
      <c r="E1836" s="62" t="n">
        <v>44701</v>
      </c>
      <c r="F1836" s="67" t="inlineStr">
        <is>
          <t>Juizado Especial Civel</t>
        </is>
      </c>
    </row>
    <row r="1837">
      <c r="A1837" s="40" t="inlineStr">
        <is>
          <t>0305087-62.2017.8.24.0020</t>
        </is>
      </c>
      <c r="B1837" s="40" t="inlineStr">
        <is>
          <t>Outras</t>
        </is>
      </c>
      <c r="D1837" s="67" t="inlineStr">
        <is>
          <t>Renata Francisco Becker</t>
        </is>
      </c>
      <c r="E1837" s="62" t="n">
        <v>44701</v>
      </c>
      <c r="F1837" s="67" t="inlineStr">
        <is>
          <t>1ª Vara Da Fazenda</t>
        </is>
      </c>
    </row>
    <row r="1838">
      <c r="A1838" s="40" t="inlineStr">
        <is>
          <t>5005196-37.2017.4.04.7204</t>
        </is>
      </c>
      <c r="B1838" s="40" t="inlineStr">
        <is>
          <t>Outras</t>
        </is>
      </c>
      <c r="D1838" s="67" t="inlineStr">
        <is>
          <t>Renata Francisco Becker</t>
        </is>
      </c>
      <c r="E1838" s="62" t="n">
        <v>44701</v>
      </c>
      <c r="F1838" s="67" t="inlineStr">
        <is>
          <t>Juizo Substituto Da 2ª Vf De Criciuma</t>
        </is>
      </c>
    </row>
    <row r="1839">
      <c r="A1839" s="40" t="inlineStr">
        <is>
          <t>0000739-47.2016.5.12.0003</t>
        </is>
      </c>
      <c r="B1839" s="40" t="inlineStr">
        <is>
          <t>Outras</t>
        </is>
      </c>
      <c r="D1839" s="67" t="inlineStr">
        <is>
          <t>Renata Francisco Becker</t>
        </is>
      </c>
      <c r="E1839" s="62" t="n">
        <v>44701</v>
      </c>
      <c r="F1839" s="67" t="inlineStr">
        <is>
          <t>1ª Vara Do Trabalho De Criciuma</t>
        </is>
      </c>
    </row>
    <row r="1840">
      <c r="A1840" s="40" t="inlineStr">
        <is>
          <t>5002464-83.2017.4.04.7204</t>
        </is>
      </c>
      <c r="B1840" s="40" t="inlineStr">
        <is>
          <t>Outras</t>
        </is>
      </c>
      <c r="D1840" s="67" t="inlineStr">
        <is>
          <t>Renata Francisco Becker</t>
        </is>
      </c>
      <c r="E1840" s="62" t="n">
        <v>44701</v>
      </c>
      <c r="F1840" s="67" t="inlineStr">
        <is>
          <t>Juizo Substituto Da 3ª Vf De Criciuma</t>
        </is>
      </c>
    </row>
    <row r="1841">
      <c r="A1841" s="40" t="inlineStr">
        <is>
          <t>5002461-31.2017.4.04.7204</t>
        </is>
      </c>
      <c r="B1841" s="40" t="inlineStr">
        <is>
          <t>Outras</t>
        </is>
      </c>
      <c r="D1841" s="67" t="inlineStr">
        <is>
          <t>Renata Francisco Becker</t>
        </is>
      </c>
      <c r="E1841" s="62" t="n">
        <v>44701</v>
      </c>
      <c r="F1841" s="67" t="inlineStr">
        <is>
          <t>Juizo Federal Da 2ª Vf De Criciuma</t>
        </is>
      </c>
    </row>
    <row r="1842">
      <c r="A1842" s="40" t="inlineStr">
        <is>
          <t>5007247-55.2016.4.04.7204</t>
        </is>
      </c>
      <c r="B1842" s="40" t="inlineStr">
        <is>
          <t>Outras</t>
        </is>
      </c>
      <c r="D1842" s="67" t="inlineStr">
        <is>
          <t>Renata Francisco Becker</t>
        </is>
      </c>
      <c r="E1842" s="62" t="n">
        <v>44701</v>
      </c>
      <c r="F1842" s="67" t="inlineStr">
        <is>
          <t>Juizo Substituto Da 2ª Vf De Criciuma</t>
        </is>
      </c>
    </row>
    <row r="1843">
      <c r="A1843" s="40" t="inlineStr">
        <is>
          <t>5079508-67.2017.4.04.9666</t>
        </is>
      </c>
      <c r="B1843" s="40" t="inlineStr">
        <is>
          <t>Outras</t>
        </is>
      </c>
      <c r="D1843" s="67" t="inlineStr">
        <is>
          <t>Renata Francisco Becker</t>
        </is>
      </c>
      <c r="E1843" s="62" t="n">
        <v>45552</v>
      </c>
      <c r="F1843" s="67" t="inlineStr">
        <is>
          <t>Presidência</t>
        </is>
      </c>
    </row>
    <row r="1844">
      <c r="A1844" s="40" t="inlineStr">
        <is>
          <t>5079507-82.2017.4.04.9666</t>
        </is>
      </c>
      <c r="B1844" s="40" t="inlineStr">
        <is>
          <t>Outras</t>
        </is>
      </c>
      <c r="D1844" s="67" t="inlineStr">
        <is>
          <t>Renata Francisco Becker</t>
        </is>
      </c>
      <c r="E1844" s="62" t="n">
        <v>45552</v>
      </c>
      <c r="F1844" s="67" t="inlineStr">
        <is>
          <t>Presidência</t>
        </is>
      </c>
    </row>
    <row r="1845">
      <c r="A1845" s="40" t="inlineStr">
        <is>
          <t>5059503-24.2017.4.04.9666</t>
        </is>
      </c>
      <c r="B1845" s="40" t="inlineStr">
        <is>
          <t>Outras</t>
        </is>
      </c>
      <c r="D1845" s="67" t="inlineStr">
        <is>
          <t>Renata Francisco Becker</t>
        </is>
      </c>
      <c r="E1845" s="62" t="n">
        <v>45552</v>
      </c>
      <c r="F1845" s="67" t="inlineStr">
        <is>
          <t>Presidência</t>
        </is>
      </c>
    </row>
    <row r="1846">
      <c r="A1846" s="40" t="inlineStr">
        <is>
          <t>5059504-09.2017.4.04.9666</t>
        </is>
      </c>
      <c r="B1846" s="40" t="inlineStr">
        <is>
          <t>Outras</t>
        </is>
      </c>
      <c r="D1846" s="67" t="inlineStr">
        <is>
          <t>Renata Francisco Becker</t>
        </is>
      </c>
      <c r="E1846" s="62" t="n">
        <v>45552</v>
      </c>
      <c r="F1846" s="67" t="inlineStr">
        <is>
          <t>Presidência</t>
        </is>
      </c>
    </row>
    <row r="1847">
      <c r="A1847" s="40" t="inlineStr">
        <is>
          <t>0000097-78.2017.5.12.0055</t>
        </is>
      </c>
      <c r="B1847" s="40" t="inlineStr">
        <is>
          <t>Outras</t>
        </is>
      </c>
      <c r="D1847" s="67" t="inlineStr">
        <is>
          <t>Renata Francisco Becker</t>
        </is>
      </c>
      <c r="E1847" s="62" t="n">
        <v>44701</v>
      </c>
      <c r="F1847" s="67" t="inlineStr">
        <is>
          <t>3ª Vara Do Trabalho De Criciuma</t>
        </is>
      </c>
    </row>
    <row r="1848">
      <c r="A1848" s="40" t="inlineStr">
        <is>
          <t>0301319-31.2017.8.24.0020</t>
        </is>
      </c>
      <c r="B1848" s="40" t="inlineStr">
        <is>
          <t>Outras</t>
        </is>
      </c>
      <c r="D1848" s="67" t="inlineStr">
        <is>
          <t>Renata Francisco Becker</t>
        </is>
      </c>
      <c r="E1848" s="62" t="n">
        <v>44701</v>
      </c>
      <c r="F1848" s="67" t="inlineStr">
        <is>
          <t>3ª Vara Civel Criciuma</t>
        </is>
      </c>
    </row>
    <row r="1849">
      <c r="A1849" s="40" t="inlineStr">
        <is>
          <t>5008264-29.2016.4.04.7204</t>
        </is>
      </c>
      <c r="B1849" s="40" t="inlineStr">
        <is>
          <t>Outras</t>
        </is>
      </c>
      <c r="D1849" s="67" t="inlineStr">
        <is>
          <t>Renata Francisco Becker</t>
        </is>
      </c>
      <c r="E1849" s="62" t="n">
        <v>44701</v>
      </c>
      <c r="F1849" s="67" t="inlineStr">
        <is>
          <t>Juizo Substituto Da 3ª Vf De Criciuma</t>
        </is>
      </c>
    </row>
    <row r="1850">
      <c r="A1850" s="40" t="inlineStr">
        <is>
          <t>0001116-43.2016.5.12.0027</t>
        </is>
      </c>
      <c r="B1850" s="40" t="inlineStr">
        <is>
          <t>Outras</t>
        </is>
      </c>
      <c r="D1850" s="67" t="inlineStr">
        <is>
          <t>Renata Francisco Becker</t>
        </is>
      </c>
      <c r="E1850" s="62" t="n">
        <v>44701</v>
      </c>
      <c r="F1850" s="67" t="inlineStr">
        <is>
          <t>2ª Vara Do Trabalho De Criciuma</t>
        </is>
      </c>
    </row>
    <row r="1851">
      <c r="A1851" s="40" t="inlineStr">
        <is>
          <t>5030322-75.2017.4.04.9666</t>
        </is>
      </c>
      <c r="B1851" s="40" t="inlineStr">
        <is>
          <t>Outras</t>
        </is>
      </c>
      <c r="D1851" s="67" t="inlineStr">
        <is>
          <t>Renata Francisco Becker</t>
        </is>
      </c>
      <c r="E1851" s="62" t="n">
        <v>45552</v>
      </c>
      <c r="F1851" s="67" t="inlineStr">
        <is>
          <t>Presidência</t>
        </is>
      </c>
    </row>
    <row r="1852">
      <c r="A1852" s="40" t="inlineStr">
        <is>
          <t>5030321-90.2017.4.04.9666</t>
        </is>
      </c>
      <c r="B1852" s="40" t="inlineStr">
        <is>
          <t>Outras</t>
        </is>
      </c>
      <c r="D1852" s="67" t="inlineStr">
        <is>
          <t>Renata Francisco Becker</t>
        </is>
      </c>
      <c r="E1852" s="62" t="n">
        <v>45552</v>
      </c>
      <c r="F1852" s="67" t="inlineStr">
        <is>
          <t>Presidência</t>
        </is>
      </c>
    </row>
    <row r="1853">
      <c r="A1853" s="40" t="inlineStr">
        <is>
          <t>0001171-13.2016.5.12.0053</t>
        </is>
      </c>
      <c r="B1853" s="40" t="inlineStr">
        <is>
          <t>Outras</t>
        </is>
      </c>
      <c r="D1853" s="67" t="inlineStr">
        <is>
          <t>Renata Francisco Becker</t>
        </is>
      </c>
      <c r="E1853" s="62" t="n">
        <v>44701</v>
      </c>
      <c r="F1853" s="67" t="inlineStr">
        <is>
          <t>3ª Vara Do Trabalho De Criciuma</t>
        </is>
      </c>
    </row>
    <row r="1854">
      <c r="A1854" s="40" t="inlineStr">
        <is>
          <t>0001490-72.2016.5.12.0055</t>
        </is>
      </c>
      <c r="B1854" s="40" t="inlineStr">
        <is>
          <t>Outras</t>
        </is>
      </c>
      <c r="D1854" s="67" t="inlineStr">
        <is>
          <t>Renata Francisco Becker</t>
        </is>
      </c>
      <c r="E1854" s="62" t="n">
        <v>44701</v>
      </c>
      <c r="F1854" s="67" t="inlineStr">
        <is>
          <t>4ª Vara Do Trabalho De Criciuma</t>
        </is>
      </c>
    </row>
    <row r="1855">
      <c r="A1855" s="40" t="inlineStr">
        <is>
          <t>5008168-14.2016.4.04.7204</t>
        </is>
      </c>
      <c r="B1855" s="40" t="inlineStr">
        <is>
          <t>Outras</t>
        </is>
      </c>
      <c r="D1855" s="67" t="inlineStr">
        <is>
          <t>Renata Francisco Becker</t>
        </is>
      </c>
      <c r="E1855" s="62" t="n">
        <v>44701</v>
      </c>
      <c r="F1855" s="67" t="inlineStr">
        <is>
          <t>Juizo Substituto Da 3ª Vf De Criciuma</t>
        </is>
      </c>
    </row>
    <row r="1856">
      <c r="A1856" s="40" t="inlineStr">
        <is>
          <t>5008740-67.2016.4.04.7204</t>
        </is>
      </c>
      <c r="B1856" s="40" t="inlineStr">
        <is>
          <t>Outras</t>
        </is>
      </c>
      <c r="D1856" s="67" t="inlineStr">
        <is>
          <t>Renata Francisco Becker</t>
        </is>
      </c>
      <c r="E1856" s="62" t="n">
        <v>44701</v>
      </c>
      <c r="F1856" s="67" t="inlineStr">
        <is>
          <t>Juizo Federal Da 3ª Vf De Criciuma</t>
        </is>
      </c>
    </row>
    <row r="1857">
      <c r="A1857" s="40" t="inlineStr">
        <is>
          <t>5000458-06.2017.4.04.7204</t>
        </is>
      </c>
      <c r="B1857" s="40" t="inlineStr">
        <is>
          <t>Outras</t>
        </is>
      </c>
      <c r="D1857" s="67" t="inlineStr">
        <is>
          <t>Renata Francisco Becker</t>
        </is>
      </c>
      <c r="E1857" s="62" t="n">
        <v>44701</v>
      </c>
      <c r="F1857" s="67" t="inlineStr">
        <is>
          <t>Juizo Federal Da 3ª Vf De Criciuma</t>
        </is>
      </c>
    </row>
    <row r="1858">
      <c r="A1858" s="40" t="inlineStr">
        <is>
          <t>5008298-04.2016.4.04.7204</t>
        </is>
      </c>
      <c r="B1858" s="40" t="inlineStr">
        <is>
          <t>Outras</t>
        </is>
      </c>
      <c r="D1858" s="67" t="inlineStr">
        <is>
          <t>Renata Francisco Becker</t>
        </is>
      </c>
      <c r="E1858" s="62" t="n">
        <v>44701</v>
      </c>
      <c r="F1858" s="67" t="inlineStr">
        <is>
          <t>Juizo Federal Da 2ª Vf De Criciuma</t>
        </is>
      </c>
    </row>
    <row r="1859">
      <c r="A1859" s="40" t="n"/>
      <c r="B1859" s="40" t="inlineStr">
        <is>
          <t>Outras</t>
        </is>
      </c>
      <c r="D1859" s="67" t="inlineStr">
        <is>
          <t>Marelize Controladoria</t>
        </is>
      </c>
      <c r="E1859" s="62" t="n">
        <v>46101</v>
      </c>
    </row>
    <row r="1860">
      <c r="A1860" s="40" t="n"/>
      <c r="B1860" s="40" t="inlineStr">
        <is>
          <t>Outras</t>
        </is>
      </c>
      <c r="D1860" s="67" t="inlineStr">
        <is>
          <t>Marelize Controladoria</t>
        </is>
      </c>
      <c r="E1860" s="62" t="n">
        <v>46100</v>
      </c>
    </row>
    <row r="1861">
      <c r="A1861" s="40" t="n"/>
      <c r="B1861" s="40" t="inlineStr">
        <is>
          <t>Outras</t>
        </is>
      </c>
      <c r="D1861" s="67" t="inlineStr">
        <is>
          <t>Marelize Controladoria</t>
        </is>
      </c>
      <c r="E1861" s="62" t="n">
        <v>46100</v>
      </c>
    </row>
    <row r="1862">
      <c r="A1862" s="40" t="n"/>
      <c r="B1862" s="40" t="inlineStr">
        <is>
          <t>Outras</t>
        </is>
      </c>
      <c r="D1862" s="67" t="inlineStr">
        <is>
          <t>Marelize Controladoria</t>
        </is>
      </c>
      <c r="E1862" s="62" t="n">
        <v>46100</v>
      </c>
    </row>
    <row r="1863">
      <c r="A1863" s="40" t="n"/>
      <c r="B1863" s="40" t="inlineStr">
        <is>
          <t>Outras</t>
        </is>
      </c>
      <c r="D1863" s="67" t="inlineStr">
        <is>
          <t>Marelize Controladoria</t>
        </is>
      </c>
      <c r="E1863" s="62" t="n">
        <v>46097</v>
      </c>
    </row>
    <row r="1864">
      <c r="A1864" s="40" t="n"/>
      <c r="B1864" s="40" t="inlineStr">
        <is>
          <t>Outras</t>
        </is>
      </c>
      <c r="D1864" s="67" t="inlineStr">
        <is>
          <t>Marelize Controladoria</t>
        </is>
      </c>
      <c r="E1864" s="62" t="n">
        <v>46092</v>
      </c>
    </row>
    <row r="1865">
      <c r="A1865" s="40" t="n"/>
      <c r="B1865" s="40" t="inlineStr">
        <is>
          <t>Outras</t>
        </is>
      </c>
      <c r="D1865" s="67" t="inlineStr">
        <is>
          <t>Marelize Controladoria</t>
        </is>
      </c>
      <c r="E1865" s="62" t="n">
        <v>46092</v>
      </c>
    </row>
    <row r="1866">
      <c r="A1866" s="40" t="n"/>
      <c r="B1866" s="40" t="inlineStr">
        <is>
          <t>Outras</t>
        </is>
      </c>
      <c r="D1866" s="67" t="inlineStr">
        <is>
          <t>Marelize Controladoria</t>
        </is>
      </c>
      <c r="E1866" s="62" t="n">
        <v>46085</v>
      </c>
    </row>
    <row r="1867">
      <c r="A1867" s="40" t="n"/>
      <c r="B1867" s="40" t="inlineStr">
        <is>
          <t>Outras</t>
        </is>
      </c>
      <c r="D1867" s="67" t="inlineStr">
        <is>
          <t>Marelize Controladoria</t>
        </is>
      </c>
      <c r="E1867" s="62" t="n">
        <v>46084</v>
      </c>
    </row>
    <row r="1868">
      <c r="A1868" s="40" t="n"/>
      <c r="B1868" s="40" t="inlineStr">
        <is>
          <t>Outras</t>
        </is>
      </c>
      <c r="D1868" s="67" t="inlineStr">
        <is>
          <t>Renata Francisco Becker</t>
        </is>
      </c>
      <c r="E1868" s="62" t="n">
        <v>46080</v>
      </c>
    </row>
    <row r="1869">
      <c r="A1869" s="40" t="n"/>
      <c r="B1869" s="40" t="inlineStr">
        <is>
          <t>Outras</t>
        </is>
      </c>
      <c r="D1869" s="67" t="inlineStr">
        <is>
          <t>Marelize Controladoria</t>
        </is>
      </c>
      <c r="E1869" s="62" t="n">
        <v>46079</v>
      </c>
    </row>
    <row r="1870">
      <c r="A1870" s="40" t="n"/>
      <c r="B1870" s="40" t="inlineStr">
        <is>
          <t>Outras</t>
        </is>
      </c>
      <c r="D1870" s="67" t="inlineStr">
        <is>
          <t>Renata Francisco Becker</t>
        </is>
      </c>
      <c r="E1870" s="62" t="n">
        <v>46078</v>
      </c>
    </row>
    <row r="1871">
      <c r="A1871" s="40" t="n"/>
      <c r="B1871" s="40" t="inlineStr">
        <is>
          <t>Outras</t>
        </is>
      </c>
      <c r="D1871" s="67" t="inlineStr">
        <is>
          <t>Marelize Controladoria</t>
        </is>
      </c>
      <c r="E1871" s="62" t="n">
        <v>46071</v>
      </c>
    </row>
    <row r="1872">
      <c r="A1872" s="40" t="n"/>
      <c r="B1872" s="40" t="inlineStr">
        <is>
          <t>Outras</t>
        </is>
      </c>
      <c r="D1872" s="67" t="inlineStr">
        <is>
          <t>Marelize Controladoria</t>
        </is>
      </c>
      <c r="E1872" s="62" t="n">
        <v>46070</v>
      </c>
    </row>
    <row r="1873">
      <c r="A1873" s="40" t="n"/>
      <c r="B1873" s="40" t="inlineStr">
        <is>
          <t>Outras</t>
        </is>
      </c>
      <c r="D1873" s="67" t="inlineStr">
        <is>
          <t>Marelize Controladoria</t>
        </is>
      </c>
      <c r="E1873" s="62" t="n">
        <v>46070</v>
      </c>
    </row>
    <row r="1874">
      <c r="A1874" s="40" t="n"/>
      <c r="B1874" s="40" t="inlineStr">
        <is>
          <t>Outras</t>
        </is>
      </c>
      <c r="D1874" s="67" t="inlineStr">
        <is>
          <t>Marelize Controladoria</t>
        </is>
      </c>
      <c r="E1874" s="62" t="n">
        <v>46070</v>
      </c>
    </row>
    <row r="1875">
      <c r="A1875" s="40" t="n"/>
      <c r="B1875" s="40" t="inlineStr">
        <is>
          <t>Outras</t>
        </is>
      </c>
      <c r="D1875" s="67" t="inlineStr">
        <is>
          <t>Marelize Controladoria</t>
        </is>
      </c>
      <c r="E1875" s="62" t="n">
        <v>46070</v>
      </c>
    </row>
    <row r="1876">
      <c r="A1876" s="40" t="n"/>
      <c r="B1876" s="40" t="inlineStr">
        <is>
          <t>Outras</t>
        </is>
      </c>
      <c r="D1876" s="67" t="inlineStr">
        <is>
          <t>Marelize Controladoria</t>
        </is>
      </c>
      <c r="E1876" s="62" t="n">
        <v>46064</v>
      </c>
    </row>
    <row r="1877">
      <c r="A1877" s="40" t="n"/>
      <c r="B1877" s="40" t="inlineStr">
        <is>
          <t>Outras</t>
        </is>
      </c>
      <c r="D1877" s="67" t="inlineStr">
        <is>
          <t>Marelize Controladoria</t>
        </is>
      </c>
      <c r="E1877" s="62" t="n">
        <v>46064</v>
      </c>
    </row>
    <row r="1878">
      <c r="A1878" s="40" t="n"/>
      <c r="B1878" s="40" t="inlineStr">
        <is>
          <t>Outras</t>
        </is>
      </c>
      <c r="D1878" s="67" t="inlineStr">
        <is>
          <t>Marelize Controladoria</t>
        </is>
      </c>
      <c r="E1878" s="62" t="n">
        <v>46064</v>
      </c>
    </row>
    <row r="1879">
      <c r="A1879" s="40" t="inlineStr">
        <is>
          <t>8502503562560</t>
        </is>
      </c>
      <c r="B1879" s="40" t="inlineStr">
        <is>
          <t>Outras</t>
        </is>
      </c>
      <c r="D1879" s="67" t="inlineStr">
        <is>
          <t>Marelize Controladoria</t>
        </is>
      </c>
      <c r="E1879" s="62" t="n">
        <v>46064</v>
      </c>
      <c r="F1879" s="67" t="inlineStr"/>
    </row>
    <row r="1880">
      <c r="A1880" s="40" t="inlineStr">
        <is>
          <t>5011974-69.2025.8.24.0020</t>
        </is>
      </c>
      <c r="B1880" s="40" t="inlineStr">
        <is>
          <t>Outras</t>
        </is>
      </c>
      <c r="D1880" s="67" t="inlineStr">
        <is>
          <t>Renata Francisco Becker</t>
        </is>
      </c>
      <c r="E1880" s="62" t="n">
        <v>46063</v>
      </c>
      <c r="F1880" s="67" t="inlineStr"/>
    </row>
    <row r="1881">
      <c r="A1881" s="40" t="n"/>
      <c r="B1881" s="40" t="inlineStr">
        <is>
          <t>Outras</t>
        </is>
      </c>
      <c r="D1881" s="67" t="inlineStr">
        <is>
          <t>Marelize Controladoria</t>
        </is>
      </c>
      <c r="E1881" s="62" t="n">
        <v>46062</v>
      </c>
    </row>
    <row r="1882">
      <c r="A1882" s="40" t="n"/>
      <c r="B1882" s="40" t="inlineStr">
        <is>
          <t>Outras</t>
        </is>
      </c>
      <c r="D1882" s="67" t="inlineStr">
        <is>
          <t>Marelize Controladoria</t>
        </is>
      </c>
      <c r="E1882" s="62" t="n">
        <v>46062</v>
      </c>
    </row>
    <row r="1883">
      <c r="A1883" s="40" t="n"/>
      <c r="B1883" s="40" t="inlineStr">
        <is>
          <t>Outras</t>
        </is>
      </c>
      <c r="D1883" s="67" t="inlineStr">
        <is>
          <t>Marelize Controladoria</t>
        </is>
      </c>
      <c r="E1883" s="62" t="n">
        <v>46062</v>
      </c>
    </row>
    <row r="1884">
      <c r="A1884" s="40" t="n"/>
      <c r="B1884" s="40" t="inlineStr">
        <is>
          <t>Outras</t>
        </is>
      </c>
      <c r="D1884" s="67" t="inlineStr">
        <is>
          <t>Marelize Controladoria</t>
        </is>
      </c>
      <c r="E1884" s="62" t="n">
        <v>46062</v>
      </c>
    </row>
    <row r="1885">
      <c r="A1885" s="40" t="n"/>
      <c r="B1885" s="40" t="inlineStr">
        <is>
          <t>Outras</t>
        </is>
      </c>
      <c r="D1885" s="67" t="inlineStr">
        <is>
          <t>Marelize Controladoria</t>
        </is>
      </c>
      <c r="E1885" s="62" t="n">
        <v>46062</v>
      </c>
    </row>
    <row r="1886">
      <c r="A1886" s="40" t="n"/>
      <c r="B1886" s="40" t="inlineStr">
        <is>
          <t>Outras</t>
        </is>
      </c>
      <c r="D1886" s="67" t="inlineStr">
        <is>
          <t>Marelize Controladoria</t>
        </is>
      </c>
      <c r="E1886" s="62" t="n">
        <v>46062</v>
      </c>
    </row>
    <row r="1887">
      <c r="A1887" s="40" t="n"/>
      <c r="B1887" s="40" t="inlineStr">
        <is>
          <t>Outras</t>
        </is>
      </c>
      <c r="D1887" s="67" t="inlineStr">
        <is>
          <t>Marelize Controladoria</t>
        </is>
      </c>
      <c r="E1887" s="62" t="n">
        <v>46062</v>
      </c>
    </row>
    <row r="1888">
      <c r="A1888" s="40" t="n"/>
      <c r="B1888" s="40" t="inlineStr">
        <is>
          <t>Outras</t>
        </is>
      </c>
      <c r="D1888" s="67" t="inlineStr">
        <is>
          <t>Marelize Controladoria</t>
        </is>
      </c>
      <c r="E1888" s="62" t="n">
        <v>46062</v>
      </c>
    </row>
    <row r="1889">
      <c r="A1889" s="40" t="n"/>
      <c r="B1889" s="40" t="inlineStr">
        <is>
          <t>Outras</t>
        </is>
      </c>
      <c r="D1889" s="67" t="inlineStr">
        <is>
          <t>Marelize Controladoria</t>
        </is>
      </c>
      <c r="E1889" s="62" t="n">
        <v>46062</v>
      </c>
    </row>
    <row r="1890">
      <c r="A1890" s="40" t="n"/>
      <c r="B1890" s="40" t="inlineStr">
        <is>
          <t>Outras</t>
        </is>
      </c>
      <c r="D1890" s="67" t="inlineStr">
        <is>
          <t>Marelize Controladoria</t>
        </is>
      </c>
      <c r="E1890" s="62" t="n">
        <v>46059</v>
      </c>
    </row>
    <row r="1891">
      <c r="A1891" s="40" t="n"/>
      <c r="B1891" s="40" t="inlineStr">
        <is>
          <t>Outras</t>
        </is>
      </c>
      <c r="D1891" s="67" t="inlineStr">
        <is>
          <t>Marelize Controladoria</t>
        </is>
      </c>
      <c r="E1891" s="62" t="n">
        <v>46056</v>
      </c>
    </row>
    <row r="1892">
      <c r="A1892" s="40" t="n"/>
      <c r="B1892" s="40" t="inlineStr">
        <is>
          <t>Outras</t>
        </is>
      </c>
      <c r="D1892" s="67" t="inlineStr">
        <is>
          <t>Marelize Controladoria</t>
        </is>
      </c>
      <c r="E1892" s="62" t="n">
        <v>46041</v>
      </c>
    </row>
    <row r="1893">
      <c r="A1893" s="40" t="inlineStr">
        <is>
          <t>5062401-27.2023.8.24.0930</t>
        </is>
      </c>
      <c r="B1893" s="40" t="inlineStr">
        <is>
          <t>Outras</t>
        </is>
      </c>
      <c r="D1893" s="67" t="inlineStr">
        <is>
          <t>Renata Francisco Becker</t>
        </is>
      </c>
      <c r="E1893" s="62" t="n">
        <v>46036</v>
      </c>
      <c r="F1893" s="67" t="inlineStr"/>
    </row>
    <row r="1894">
      <c r="A1894" s="40" t="n"/>
      <c r="B1894" s="40" t="inlineStr">
        <is>
          <t>Outras</t>
        </is>
      </c>
      <c r="D1894" s="67" t="inlineStr">
        <is>
          <t>Pedro Victor</t>
        </is>
      </c>
      <c r="E1894" s="62" t="n">
        <v>45979</v>
      </c>
    </row>
    <row r="1895">
      <c r="A1895" s="40" t="n"/>
      <c r="B1895" s="40" t="inlineStr">
        <is>
          <t>Outras</t>
        </is>
      </c>
      <c r="D1895" s="67" t="inlineStr">
        <is>
          <t>Renata Francisco Becker</t>
        </is>
      </c>
      <c r="E1895" s="62" t="n">
        <v>45965</v>
      </c>
    </row>
    <row r="1896">
      <c r="A1896" s="40" t="n"/>
      <c r="B1896" s="40" t="inlineStr">
        <is>
          <t>Outras</t>
        </is>
      </c>
      <c r="D1896" s="67" t="inlineStr">
        <is>
          <t>Jessica</t>
        </is>
      </c>
      <c r="E1896" s="62" t="n">
        <v>45965</v>
      </c>
    </row>
    <row r="1897">
      <c r="A1897" s="40" t="n"/>
      <c r="B1897" s="40" t="inlineStr">
        <is>
          <t>Outras</t>
        </is>
      </c>
      <c r="D1897" s="67" t="inlineStr">
        <is>
          <t>Julia</t>
        </is>
      </c>
      <c r="E1897" s="62" t="n">
        <v>45947</v>
      </c>
      <c r="F1897" s="67" t="inlineStr"/>
    </row>
    <row r="1898">
      <c r="A1898" s="40" t="n"/>
      <c r="B1898" s="40" t="inlineStr">
        <is>
          <t>Outras</t>
        </is>
      </c>
      <c r="D1898" s="67" t="inlineStr">
        <is>
          <t xml:space="preserve">Lucas </t>
        </is>
      </c>
      <c r="E1898" s="62" t="n">
        <v>45937</v>
      </c>
    </row>
    <row r="1899">
      <c r="A1899" s="40" t="n"/>
      <c r="B1899" s="40" t="inlineStr">
        <is>
          <t>Outras</t>
        </is>
      </c>
      <c r="D1899" s="67" t="inlineStr">
        <is>
          <t>Renata Francisco Becker</t>
        </is>
      </c>
      <c r="E1899" s="62" t="n">
        <v>45931</v>
      </c>
    </row>
    <row r="1900">
      <c r="A1900" s="40" t="n"/>
      <c r="B1900" s="40" t="inlineStr">
        <is>
          <t>Outras</t>
        </is>
      </c>
      <c r="D1900" s="67" t="inlineStr">
        <is>
          <t>Pedro Victor</t>
        </is>
      </c>
      <c r="E1900" s="62" t="n">
        <v>45926</v>
      </c>
    </row>
    <row r="1901">
      <c r="A1901" s="40" t="n"/>
      <c r="B1901" s="40" t="inlineStr">
        <is>
          <t>Outras</t>
        </is>
      </c>
      <c r="D1901" s="67" t="inlineStr">
        <is>
          <t>Renata Francisco Becker</t>
        </is>
      </c>
      <c r="E1901" s="62" t="n">
        <v>45902</v>
      </c>
    </row>
    <row r="1902">
      <c r="A1902" s="40" t="inlineStr">
        <is>
          <t>123/2024 - 8149</t>
        </is>
      </c>
      <c r="B1902" s="40" t="inlineStr">
        <is>
          <t>Outras</t>
        </is>
      </c>
      <c r="D1902" s="67" t="inlineStr">
        <is>
          <t>Renata Francisco Becker</t>
        </is>
      </c>
      <c r="E1902" s="62" t="n">
        <v>45883</v>
      </c>
      <c r="F1902" s="67" t="inlineStr"/>
    </row>
    <row r="1903">
      <c r="A1903" s="40" t="n"/>
      <c r="B1903" s="40" t="inlineStr">
        <is>
          <t>Outras</t>
        </is>
      </c>
      <c r="D1903" s="67" t="inlineStr">
        <is>
          <t>Renata Francisco Becker</t>
        </is>
      </c>
      <c r="E1903" s="62" t="n">
        <v>45835</v>
      </c>
    </row>
    <row r="1904">
      <c r="A1904" s="40" t="n"/>
      <c r="B1904" s="40" t="inlineStr">
        <is>
          <t>Outras</t>
        </is>
      </c>
      <c r="D1904" s="67" t="inlineStr">
        <is>
          <t>Pedro Victor</t>
        </is>
      </c>
      <c r="E1904" s="62" t="n">
        <v>45831</v>
      </c>
    </row>
    <row r="1905">
      <c r="A1905" s="40" t="n"/>
      <c r="B1905" s="40" t="inlineStr">
        <is>
          <t>Outras</t>
        </is>
      </c>
      <c r="D1905" s="67" t="inlineStr">
        <is>
          <t>Renata Francisco Becker</t>
        </is>
      </c>
      <c r="E1905" s="62" t="n">
        <v>45821</v>
      </c>
    </row>
    <row r="1906">
      <c r="A1906" s="40" t="n"/>
      <c r="B1906" s="40" t="inlineStr">
        <is>
          <t>Outras</t>
        </is>
      </c>
      <c r="D1906" s="67" t="inlineStr">
        <is>
          <t>Pedro Victor</t>
        </is>
      </c>
      <c r="E1906" s="62" t="n">
        <v>45807</v>
      </c>
    </row>
    <row r="1907">
      <c r="A1907" s="40" t="n"/>
      <c r="B1907" s="40" t="inlineStr">
        <is>
          <t>Outras</t>
        </is>
      </c>
      <c r="D1907" s="67" t="inlineStr">
        <is>
          <t>Renata Francisco Becker</t>
        </is>
      </c>
      <c r="E1907" s="62" t="n">
        <v>45758</v>
      </c>
    </row>
    <row r="1908">
      <c r="A1908" s="40" t="inlineStr">
        <is>
          <t>5001527-95.2025.8.24.0028</t>
        </is>
      </c>
      <c r="B1908" s="40" t="inlineStr">
        <is>
          <t>Outras</t>
        </is>
      </c>
      <c r="D1908" s="67" t="inlineStr">
        <is>
          <t>Renata Francisco Becker</t>
        </is>
      </c>
      <c r="E1908" s="62" t="n">
        <v>45754</v>
      </c>
      <c r="F1908" s="67" t="inlineStr"/>
    </row>
    <row r="1909">
      <c r="A1909" s="40" t="inlineStr">
        <is>
          <t>5005499-97.2025.8.24.0020</t>
        </is>
      </c>
      <c r="B1909" s="40" t="inlineStr">
        <is>
          <t>Outras</t>
        </is>
      </c>
      <c r="D1909" s="67" t="inlineStr">
        <is>
          <t>Renata Francisco Becker</t>
        </is>
      </c>
      <c r="E1909" s="62" t="n">
        <v>45754</v>
      </c>
      <c r="F1909" s="67" t="inlineStr"/>
    </row>
    <row r="1910">
      <c r="A1910" s="40" t="n"/>
      <c r="B1910" s="40" t="inlineStr">
        <is>
          <t>Outras</t>
        </is>
      </c>
      <c r="D1910" s="67" t="inlineStr">
        <is>
          <t>Renata Francisco Becker</t>
        </is>
      </c>
      <c r="E1910" s="62" t="n">
        <v>45743</v>
      </c>
    </row>
    <row r="1911">
      <c r="A1911" s="40" t="n"/>
      <c r="B1911" s="40" t="inlineStr">
        <is>
          <t>Outras</t>
        </is>
      </c>
      <c r="D1911" s="67" t="inlineStr">
        <is>
          <t>Renata Francisco Becker</t>
        </is>
      </c>
      <c r="E1911" s="62" t="n">
        <v>45743</v>
      </c>
    </row>
    <row r="1912">
      <c r="A1912" s="40" t="n"/>
      <c r="B1912" s="40" t="inlineStr">
        <is>
          <t>Outras</t>
        </is>
      </c>
      <c r="D1912" s="67" t="inlineStr">
        <is>
          <t xml:space="preserve">Lucas </t>
        </is>
      </c>
      <c r="E1912" s="62" t="n">
        <v>45743</v>
      </c>
    </row>
    <row r="1913">
      <c r="A1913" s="40" t="n"/>
      <c r="B1913" s="40" t="inlineStr">
        <is>
          <t>Outras</t>
        </is>
      </c>
      <c r="D1913" s="67" t="inlineStr">
        <is>
          <t>Renata Francisco Becker</t>
        </is>
      </c>
      <c r="E1913" s="62" t="n">
        <v>45743</v>
      </c>
    </row>
    <row r="1914">
      <c r="A1914" s="40" t="n"/>
      <c r="B1914" s="40" t="inlineStr">
        <is>
          <t>Outras</t>
        </is>
      </c>
      <c r="D1914" s="67" t="inlineStr">
        <is>
          <t>Renata Francisco Becker</t>
        </is>
      </c>
      <c r="E1914" s="62" t="n">
        <v>45743</v>
      </c>
    </row>
    <row r="1915">
      <c r="A1915" s="40" t="n"/>
      <c r="B1915" s="40" t="inlineStr">
        <is>
          <t>Outras</t>
        </is>
      </c>
      <c r="D1915" s="67" t="inlineStr">
        <is>
          <t>Renata Francisco Becker</t>
        </is>
      </c>
      <c r="E1915" s="62" t="n">
        <v>45743</v>
      </c>
    </row>
    <row r="1916">
      <c r="A1916" s="40" t="n"/>
      <c r="B1916" s="40" t="inlineStr">
        <is>
          <t>Outras</t>
        </is>
      </c>
      <c r="D1916" s="67" t="inlineStr">
        <is>
          <t>Renata Francisco Becker</t>
        </is>
      </c>
      <c r="E1916" s="62" t="n">
        <v>45743</v>
      </c>
    </row>
    <row r="1917">
      <c r="A1917" s="40" t="n"/>
      <c r="B1917" s="40" t="inlineStr">
        <is>
          <t>Outras</t>
        </is>
      </c>
      <c r="D1917" s="67" t="inlineStr">
        <is>
          <t>Renata Francisco Becker</t>
        </is>
      </c>
      <c r="E1917" s="62" t="n">
        <v>45743</v>
      </c>
    </row>
    <row r="1918">
      <c r="A1918" s="40" t="n"/>
      <c r="B1918" s="40" t="inlineStr">
        <is>
          <t>Outras</t>
        </is>
      </c>
      <c r="D1918" s="67" t="inlineStr">
        <is>
          <t>Renata Francisco Becker</t>
        </is>
      </c>
      <c r="E1918" s="62" t="n">
        <v>45743</v>
      </c>
    </row>
    <row r="1919">
      <c r="A1919" s="40" t="n"/>
      <c r="B1919" s="40" t="inlineStr">
        <is>
          <t>Outras</t>
        </is>
      </c>
      <c r="D1919" s="67" t="inlineStr">
        <is>
          <t>Renata Francisco Becker</t>
        </is>
      </c>
      <c r="E1919" s="62" t="n">
        <v>45743</v>
      </c>
    </row>
    <row r="1920">
      <c r="A1920" s="40" t="inlineStr">
        <is>
          <t>0176634</t>
        </is>
      </c>
      <c r="B1920" s="40" t="inlineStr">
        <is>
          <t>Outras</t>
        </is>
      </c>
      <c r="D1920" s="67" t="inlineStr">
        <is>
          <t xml:space="preserve">Lucas </t>
        </is>
      </c>
      <c r="E1920" s="62" t="n">
        <v>45741</v>
      </c>
      <c r="F1920" s="67" t="inlineStr"/>
    </row>
    <row r="1921">
      <c r="A1921" s="40" t="inlineStr">
        <is>
          <t>0176633</t>
        </is>
      </c>
      <c r="B1921" s="40" t="inlineStr">
        <is>
          <t>Outras</t>
        </is>
      </c>
      <c r="D1921" s="67" t="inlineStr">
        <is>
          <t xml:space="preserve">Lucas </t>
        </is>
      </c>
      <c r="E1921" s="62" t="n">
        <v>45741</v>
      </c>
      <c r="F1921" s="67" t="inlineStr"/>
    </row>
    <row r="1922">
      <c r="A1922" s="40" t="inlineStr">
        <is>
          <t>0176632</t>
        </is>
      </c>
      <c r="B1922" s="40" t="inlineStr">
        <is>
          <t>Outras</t>
        </is>
      </c>
      <c r="D1922" s="67" t="inlineStr">
        <is>
          <t xml:space="preserve">Lucas </t>
        </is>
      </c>
      <c r="E1922" s="62" t="n">
        <v>45741</v>
      </c>
      <c r="F1922" s="67" t="inlineStr"/>
    </row>
    <row r="1923">
      <c r="A1923" s="40" t="n"/>
      <c r="B1923" s="40" t="inlineStr">
        <is>
          <t>Outras</t>
        </is>
      </c>
      <c r="D1923" s="67" t="inlineStr">
        <is>
          <t xml:space="preserve">Lucas </t>
        </is>
      </c>
      <c r="E1923" s="62" t="n">
        <v>45741</v>
      </c>
      <c r="F1923" s="67" t="inlineStr"/>
    </row>
    <row r="1924">
      <c r="A1924" s="40" t="inlineStr">
        <is>
          <t>0176630</t>
        </is>
      </c>
      <c r="B1924" s="40" t="inlineStr">
        <is>
          <t>Outras</t>
        </is>
      </c>
      <c r="D1924" s="67" t="inlineStr">
        <is>
          <t xml:space="preserve">Lucas </t>
        </is>
      </c>
      <c r="E1924" s="62" t="n">
        <v>45741</v>
      </c>
      <c r="F1924" s="67" t="inlineStr"/>
    </row>
    <row r="1925">
      <c r="A1925" s="40" t="inlineStr">
        <is>
          <t>0176628</t>
        </is>
      </c>
      <c r="B1925" s="40" t="inlineStr">
        <is>
          <t>Outras</t>
        </is>
      </c>
      <c r="D1925" s="67" t="inlineStr">
        <is>
          <t xml:space="preserve">Lucas </t>
        </is>
      </c>
      <c r="E1925" s="62" t="n">
        <v>45741</v>
      </c>
      <c r="F1925" s="67" t="inlineStr"/>
    </row>
    <row r="1926">
      <c r="A1926" s="40" t="inlineStr">
        <is>
          <t>0176626</t>
        </is>
      </c>
      <c r="B1926" s="40" t="inlineStr">
        <is>
          <t>Outras</t>
        </is>
      </c>
      <c r="D1926" s="67" t="inlineStr">
        <is>
          <t xml:space="preserve">Lucas </t>
        </is>
      </c>
      <c r="E1926" s="62" t="n">
        <v>45741</v>
      </c>
      <c r="F1926" s="67" t="inlineStr"/>
    </row>
    <row r="1927">
      <c r="A1927" s="40" t="inlineStr">
        <is>
          <t>0176625</t>
        </is>
      </c>
      <c r="B1927" s="40" t="inlineStr">
        <is>
          <t>Outras</t>
        </is>
      </c>
      <c r="D1927" s="67" t="inlineStr">
        <is>
          <t xml:space="preserve">Lucas </t>
        </is>
      </c>
      <c r="E1927" s="62" t="n">
        <v>45741</v>
      </c>
      <c r="F1927" s="67" t="inlineStr"/>
    </row>
    <row r="1928">
      <c r="A1928" s="40" t="inlineStr">
        <is>
          <t>0176624</t>
        </is>
      </c>
      <c r="B1928" s="40" t="inlineStr">
        <is>
          <t>Outras</t>
        </is>
      </c>
      <c r="D1928" s="67" t="inlineStr">
        <is>
          <t xml:space="preserve">Lucas </t>
        </is>
      </c>
      <c r="E1928" s="62" t="n">
        <v>45741</v>
      </c>
      <c r="F1928" s="67" t="inlineStr"/>
    </row>
    <row r="1929">
      <c r="A1929" s="40" t="n"/>
      <c r="B1929" s="40" t="inlineStr">
        <is>
          <t>Outras</t>
        </is>
      </c>
      <c r="D1929" s="67" t="inlineStr">
        <is>
          <t>Renata Francisco Becker</t>
        </is>
      </c>
      <c r="E1929" s="62" t="n">
        <v>45736</v>
      </c>
    </row>
    <row r="1930">
      <c r="A1930" s="40" t="inlineStr">
        <is>
          <t>TE02221570</t>
        </is>
      </c>
      <c r="B1930" s="40" t="inlineStr">
        <is>
          <t>Outras</t>
        </is>
      </c>
      <c r="D1930" s="67" t="inlineStr">
        <is>
          <t xml:space="preserve">Lucas </t>
        </is>
      </c>
      <c r="E1930" s="62" t="n">
        <v>45729</v>
      </c>
      <c r="F1930" s="67" t="inlineStr"/>
    </row>
    <row r="1931">
      <c r="A1931" s="40" t="inlineStr">
        <is>
          <t>5005407-22.2025.8.24.0020</t>
        </is>
      </c>
      <c r="B1931" s="40" t="inlineStr">
        <is>
          <t>Outras</t>
        </is>
      </c>
      <c r="D1931" s="67" t="inlineStr">
        <is>
          <t>Renata Francisco Becker</t>
        </is>
      </c>
      <c r="E1931" s="62" t="n">
        <v>45728</v>
      </c>
      <c r="F1931" s="67" t="inlineStr">
        <is>
          <t>Juízo da 4ª Vara Cível da Comarca de Criciúma</t>
        </is>
      </c>
    </row>
    <row r="1932">
      <c r="A1932" s="40" t="n"/>
      <c r="B1932" s="40" t="inlineStr">
        <is>
          <t>Outras</t>
        </is>
      </c>
      <c r="D1932" s="67" t="inlineStr">
        <is>
          <t>Renata Francisco Becker</t>
        </is>
      </c>
      <c r="E1932" s="62" t="n">
        <v>45723</v>
      </c>
    </row>
    <row r="1933">
      <c r="A1933" s="40" t="n"/>
      <c r="B1933" s="40" t="inlineStr">
        <is>
          <t>Outras</t>
        </is>
      </c>
      <c r="D1933" s="67" t="inlineStr">
        <is>
          <t>Renata Francisco Becker</t>
        </is>
      </c>
      <c r="E1933" s="62" t="n">
        <v>45715</v>
      </c>
    </row>
    <row r="1934">
      <c r="A1934" s="40" t="inlineStr">
        <is>
          <t>0176628</t>
        </is>
      </c>
      <c r="B1934" s="40" t="inlineStr">
        <is>
          <t>Outras</t>
        </is>
      </c>
      <c r="D1934" s="67" t="inlineStr">
        <is>
          <t xml:space="preserve">Lucas </t>
        </is>
      </c>
      <c r="E1934" s="62" t="n">
        <v>45705</v>
      </c>
      <c r="F1934" s="67" t="inlineStr"/>
    </row>
    <row r="1935">
      <c r="A1935" s="40" t="n"/>
      <c r="B1935" s="40" t="inlineStr">
        <is>
          <t>Outras</t>
        </is>
      </c>
      <c r="D1935" s="67" t="inlineStr">
        <is>
          <t xml:space="preserve">Lucas </t>
        </is>
      </c>
      <c r="E1935" s="62" t="n">
        <v>45700</v>
      </c>
    </row>
    <row r="1936">
      <c r="A1936" s="40" t="n"/>
      <c r="B1936" s="40" t="inlineStr">
        <is>
          <t>Outras</t>
        </is>
      </c>
      <c r="D1936" s="67" t="inlineStr">
        <is>
          <t>Luci</t>
        </is>
      </c>
      <c r="E1936" s="62" t="n">
        <v>45693</v>
      </c>
    </row>
    <row r="1937">
      <c r="A1937" s="40" t="n"/>
      <c r="B1937" s="40" t="inlineStr">
        <is>
          <t>Outras</t>
        </is>
      </c>
      <c r="D1937" s="67" t="inlineStr">
        <is>
          <t>Renata Francisco Becker</t>
        </is>
      </c>
      <c r="E1937" s="62" t="n">
        <v>45629</v>
      </c>
    </row>
    <row r="1938">
      <c r="A1938" s="40" t="n"/>
      <c r="B1938" s="40" t="inlineStr">
        <is>
          <t>Outras</t>
        </is>
      </c>
      <c r="D1938" s="67" t="inlineStr">
        <is>
          <t>Renata Francisco Becker</t>
        </is>
      </c>
      <c r="E1938" s="62" t="n">
        <v>45607</v>
      </c>
    </row>
    <row r="1939">
      <c r="A1939" s="40" t="n"/>
      <c r="B1939" s="40" t="inlineStr">
        <is>
          <t>Outras</t>
        </is>
      </c>
      <c r="D1939" s="67" t="inlineStr">
        <is>
          <t>Renata Francisco Becker</t>
        </is>
      </c>
      <c r="E1939" s="62" t="n">
        <v>45604</v>
      </c>
    </row>
    <row r="1940">
      <c r="A1940" s="40" t="inlineStr">
        <is>
          <t>14185.034827/2024-96</t>
        </is>
      </c>
      <c r="B1940" s="40" t="inlineStr">
        <is>
          <t>Outras</t>
        </is>
      </c>
      <c r="D1940" s="67" t="inlineStr">
        <is>
          <t>Pedro Victor</t>
        </is>
      </c>
      <c r="E1940" s="62" t="n">
        <v>45600</v>
      </c>
      <c r="F1940" s="67" t="inlineStr"/>
    </row>
    <row r="1941">
      <c r="A1941" s="40" t="n"/>
      <c r="B1941" s="40" t="inlineStr">
        <is>
          <t>Outras</t>
        </is>
      </c>
      <c r="D1941" s="67" t="inlineStr">
        <is>
          <t>Pedro Victor</t>
        </is>
      </c>
      <c r="E1941" s="62" t="n">
        <v>45579</v>
      </c>
    </row>
    <row r="1942">
      <c r="A1942" s="40" t="n"/>
      <c r="B1942" s="40" t="inlineStr">
        <is>
          <t>Outras</t>
        </is>
      </c>
      <c r="D1942" s="67" t="inlineStr">
        <is>
          <t>Luci</t>
        </is>
      </c>
      <c r="E1942" s="62" t="n">
        <v>45579</v>
      </c>
    </row>
    <row r="1943">
      <c r="A1943" s="40" t="n"/>
      <c r="B1943" s="40" t="inlineStr">
        <is>
          <t>Outras</t>
        </is>
      </c>
      <c r="D1943" s="67" t="inlineStr">
        <is>
          <t>Luci</t>
        </is>
      </c>
      <c r="E1943" s="62" t="n">
        <v>45574</v>
      </c>
    </row>
    <row r="1944">
      <c r="A1944" s="40" t="n"/>
      <c r="B1944" s="40" t="inlineStr">
        <is>
          <t>Outras</t>
        </is>
      </c>
      <c r="D1944" s="67" t="inlineStr">
        <is>
          <t>Luci</t>
        </is>
      </c>
      <c r="E1944" s="62" t="n">
        <v>45573</v>
      </c>
    </row>
    <row r="1945">
      <c r="A1945" s="40" t="n"/>
      <c r="B1945" s="40" t="inlineStr">
        <is>
          <t>Outras</t>
        </is>
      </c>
      <c r="D1945" s="67" t="inlineStr">
        <is>
          <t>Luci</t>
        </is>
      </c>
      <c r="E1945" s="62" t="n">
        <v>45573</v>
      </c>
    </row>
    <row r="1946">
      <c r="A1946" s="40" t="n"/>
      <c r="B1946" s="40" t="inlineStr">
        <is>
          <t>Outras</t>
        </is>
      </c>
      <c r="D1946" s="67" t="inlineStr">
        <is>
          <t>Luci</t>
        </is>
      </c>
      <c r="E1946" s="62" t="n">
        <v>45573</v>
      </c>
    </row>
    <row r="1947">
      <c r="A1947" s="40" t="n"/>
      <c r="B1947" s="40" t="inlineStr">
        <is>
          <t>Outras</t>
        </is>
      </c>
      <c r="D1947" s="67" t="inlineStr">
        <is>
          <t>Renata Francisco Becker</t>
        </is>
      </c>
      <c r="E1947" s="62" t="n">
        <v>45517</v>
      </c>
    </row>
    <row r="1948">
      <c r="A1948" s="40" t="n"/>
      <c r="B1948" s="40" t="inlineStr">
        <is>
          <t>Outras</t>
        </is>
      </c>
      <c r="D1948" s="67" t="inlineStr">
        <is>
          <t>Pedro Victor</t>
        </is>
      </c>
      <c r="E1948" s="62" t="n">
        <v>45499</v>
      </c>
    </row>
    <row r="1949">
      <c r="A1949" s="40" t="n"/>
      <c r="B1949" s="40" t="inlineStr">
        <is>
          <t>Outras</t>
        </is>
      </c>
      <c r="D1949" s="67" t="inlineStr">
        <is>
          <t>Renata Francisco Becker</t>
        </is>
      </c>
      <c r="E1949" s="62" t="n">
        <v>45478</v>
      </c>
    </row>
    <row r="1950">
      <c r="A1950" s="40" t="n"/>
      <c r="B1950" s="40" t="inlineStr">
        <is>
          <t>Outras</t>
        </is>
      </c>
      <c r="D1950" s="67" t="inlineStr">
        <is>
          <t>Renata Francisco Becker</t>
        </is>
      </c>
      <c r="E1950" s="62" t="n">
        <v>45478</v>
      </c>
    </row>
    <row r="1951">
      <c r="A1951" s="40" t="inlineStr">
        <is>
          <t>50192269420238240020</t>
        </is>
      </c>
      <c r="B1951" s="40" t="inlineStr">
        <is>
          <t>Outras</t>
        </is>
      </c>
      <c r="D1951" s="67" t="inlineStr">
        <is>
          <t>Renata Francisco Becker</t>
        </is>
      </c>
      <c r="E1951" s="62" t="n">
        <v>45420</v>
      </c>
      <c r="F1951" s="67" t="inlineStr"/>
    </row>
    <row r="1952">
      <c r="A1952" s="40" t="n"/>
      <c r="B1952" s="40" t="inlineStr">
        <is>
          <t>Outras</t>
        </is>
      </c>
      <c r="D1952" s="67" t="inlineStr">
        <is>
          <t>Renata Francisco Becker</t>
        </is>
      </c>
      <c r="E1952" s="62" t="n">
        <v>45420</v>
      </c>
      <c r="F1952" s="67" t="inlineStr"/>
    </row>
    <row r="1953">
      <c r="A1953" s="40" t="n"/>
      <c r="B1953" s="40" t="inlineStr">
        <is>
          <t>Outras</t>
        </is>
      </c>
      <c r="D1953" s="67" t="inlineStr">
        <is>
          <t>Pedro Victor</t>
        </is>
      </c>
      <c r="E1953" s="62" t="n">
        <v>45411</v>
      </c>
    </row>
    <row r="1954">
      <c r="A1954" s="40" t="n"/>
      <c r="B1954" s="40" t="inlineStr">
        <is>
          <t>Outras</t>
        </is>
      </c>
      <c r="D1954" s="67" t="inlineStr">
        <is>
          <t>Pedro Victor</t>
        </is>
      </c>
      <c r="E1954" s="62" t="n">
        <v>45411</v>
      </c>
    </row>
    <row r="1955">
      <c r="A1955" s="40" t="n"/>
      <c r="B1955" s="40" t="inlineStr">
        <is>
          <t>Outras</t>
        </is>
      </c>
      <c r="D1955" s="67" t="inlineStr">
        <is>
          <t>Renata Francisco Becker</t>
        </is>
      </c>
      <c r="E1955" s="62" t="n">
        <v>45367</v>
      </c>
    </row>
    <row r="1956">
      <c r="A1956" s="40" t="inlineStr">
        <is>
          <t>50066820620238240075</t>
        </is>
      </c>
      <c r="B1956" s="40" t="inlineStr">
        <is>
          <t>Outras</t>
        </is>
      </c>
      <c r="D1956" s="67" t="inlineStr">
        <is>
          <t>Renata Francisco Becker</t>
        </is>
      </c>
      <c r="E1956" s="62" t="n">
        <v>45357</v>
      </c>
      <c r="F1956" s="67" t="inlineStr"/>
    </row>
    <row r="1957">
      <c r="A1957" s="40" t="n"/>
      <c r="B1957" s="40" t="inlineStr">
        <is>
          <t>Outras</t>
        </is>
      </c>
      <c r="D1957" s="67" t="inlineStr">
        <is>
          <t>Pedro Victor</t>
        </is>
      </c>
      <c r="E1957" s="62" t="n">
        <v>45351</v>
      </c>
    </row>
    <row r="1958">
      <c r="A1958" s="40" t="n"/>
      <c r="B1958" s="40" t="inlineStr">
        <is>
          <t>Outras</t>
        </is>
      </c>
      <c r="D1958" s="67" t="inlineStr">
        <is>
          <t>Renata Francisco Becker</t>
        </is>
      </c>
      <c r="E1958" s="62" t="n">
        <v>45310</v>
      </c>
      <c r="F1958" s="67" t="inlineStr"/>
    </row>
    <row r="1959">
      <c r="A1959" s="40" t="inlineStr">
        <is>
          <t>0301336-80.2018.8.24.0069</t>
        </is>
      </c>
      <c r="B1959" s="40" t="inlineStr">
        <is>
          <t>Outras</t>
        </is>
      </c>
      <c r="D1959" s="67" t="inlineStr">
        <is>
          <t>Renata Francisco Becker</t>
        </is>
      </c>
      <c r="E1959" s="62" t="n">
        <v>45222</v>
      </c>
      <c r="F1959" s="67" t="inlineStr"/>
    </row>
    <row r="1960">
      <c r="A1960" s="40" t="n"/>
      <c r="B1960" s="40" t="inlineStr">
        <is>
          <t>Outras</t>
        </is>
      </c>
      <c r="D1960" s="67" t="inlineStr">
        <is>
          <t>Pedro Victor</t>
        </is>
      </c>
      <c r="E1960" s="62" t="n">
        <v>45168</v>
      </c>
    </row>
    <row r="1961">
      <c r="A1961" s="40" t="n"/>
      <c r="B1961" s="40" t="inlineStr">
        <is>
          <t>Outras</t>
        </is>
      </c>
      <c r="D1961" s="67" t="inlineStr">
        <is>
          <t>Renata Francisco Becker</t>
        </is>
      </c>
      <c r="E1961" s="62" t="n">
        <v>45098</v>
      </c>
      <c r="F1961" s="67" t="inlineStr"/>
    </row>
    <row r="1962">
      <c r="A1962" s="40" t="n"/>
      <c r="B1962" s="40" t="inlineStr">
        <is>
          <t>Outras</t>
        </is>
      </c>
      <c r="D1962" s="67" t="inlineStr">
        <is>
          <t>Renata Francisco Becker</t>
        </is>
      </c>
      <c r="E1962" s="62" t="n">
        <v>45033</v>
      </c>
      <c r="F1962" s="67" t="inlineStr"/>
    </row>
    <row r="1963">
      <c r="A1963" s="40" t="inlineStr">
        <is>
          <t>00001816820235120023</t>
        </is>
      </c>
      <c r="B1963" s="40" t="inlineStr">
        <is>
          <t>Outras</t>
        </is>
      </c>
      <c r="D1963" s="67" t="inlineStr">
        <is>
          <t>Renata Francisco Becker</t>
        </is>
      </c>
      <c r="E1963" s="62" t="n">
        <v>45028</v>
      </c>
      <c r="F1963" s="67" t="inlineStr"/>
    </row>
    <row r="1964">
      <c r="A1964" s="40" t="n"/>
      <c r="B1964" s="40" t="inlineStr">
        <is>
          <t>Outras</t>
        </is>
      </c>
      <c r="D1964" s="67" t="inlineStr">
        <is>
          <t>Pedro Victor</t>
        </is>
      </c>
      <c r="E1964" s="62" t="n">
        <v>44827</v>
      </c>
      <c r="F1964" s="67" t="inlineStr"/>
    </row>
    <row r="1965">
      <c r="A1965" s="40" t="n"/>
      <c r="B1965" s="40" t="inlineStr">
        <is>
          <t>Outras</t>
        </is>
      </c>
      <c r="D1965" s="67" t="inlineStr">
        <is>
          <t>Renata Francisco Becker</t>
        </is>
      </c>
      <c r="E1965" s="62" t="n">
        <v>44748</v>
      </c>
    </row>
    <row r="1966">
      <c r="A1966" s="40" t="n"/>
      <c r="B1966" s="40" t="inlineStr">
        <is>
          <t>Outras</t>
        </is>
      </c>
      <c r="D1966" s="67" t="inlineStr">
        <is>
          <t>Renata Francisco Becker</t>
        </is>
      </c>
      <c r="E1966" s="62" t="n">
        <v>44748</v>
      </c>
    </row>
    <row r="1967">
      <c r="A1967" s="40" t="n"/>
      <c r="B1967" s="40" t="inlineStr">
        <is>
          <t>Outras</t>
        </is>
      </c>
      <c r="D1967" s="67" t="inlineStr">
        <is>
          <t>Renata Francisco Becker</t>
        </is>
      </c>
      <c r="E1967" s="62" t="n">
        <v>45831</v>
      </c>
    </row>
    <row r="1968">
      <c r="A1968" s="40" t="inlineStr">
        <is>
          <t>0300348-85.2018.8.24.0028</t>
        </is>
      </c>
      <c r="B1968" s="40" t="inlineStr">
        <is>
          <t>Outras</t>
        </is>
      </c>
      <c r="D1968" s="67" t="inlineStr">
        <is>
          <t>Renata Francisco Becker</t>
        </is>
      </c>
      <c r="E1968" s="62" t="n">
        <v>44701</v>
      </c>
      <c r="F1968" s="67" t="inlineStr">
        <is>
          <t>1ª Vara</t>
        </is>
      </c>
    </row>
    <row r="1969">
      <c r="A1969" s="40" t="inlineStr">
        <is>
          <t>0313321-67.2016.8.24.0020</t>
        </is>
      </c>
      <c r="B1969" s="40" t="inlineStr">
        <is>
          <t>Outras</t>
        </is>
      </c>
      <c r="D1969" s="67" t="inlineStr">
        <is>
          <t>Renata Francisco Becker</t>
        </is>
      </c>
      <c r="E1969" s="62" t="n">
        <v>44701</v>
      </c>
      <c r="F1969" s="67" t="inlineStr">
        <is>
          <t>1ª Vara Da Fazenda Criciuma</t>
        </is>
      </c>
    </row>
    <row r="1970">
      <c r="A1970" s="40" t="inlineStr">
        <is>
          <t>0300919-98.2016.8.24.0166</t>
        </is>
      </c>
      <c r="B1970" s="40" t="inlineStr">
        <is>
          <t>Outras</t>
        </is>
      </c>
      <c r="D1970" s="67" t="inlineStr">
        <is>
          <t>Renata Francisco Becker</t>
        </is>
      </c>
      <c r="E1970" s="62" t="n">
        <v>44701</v>
      </c>
      <c r="F1970" s="67" t="inlineStr">
        <is>
          <t>Vara Unica Forquilhinha</t>
        </is>
      </c>
    </row>
    <row r="1971">
      <c r="A1971" s="40" t="inlineStr">
        <is>
          <t>0301808-68.2017.8.24.0020</t>
        </is>
      </c>
      <c r="B1971" s="40" t="inlineStr">
        <is>
          <t>Outras</t>
        </is>
      </c>
      <c r="D1971" s="67" t="inlineStr">
        <is>
          <t>Renata Francisco Becker</t>
        </is>
      </c>
      <c r="E1971" s="62" t="n">
        <v>44701</v>
      </c>
      <c r="F1971" s="67" t="inlineStr">
        <is>
          <t>1ª Vara Da Fazenda Criciuma</t>
        </is>
      </c>
    </row>
    <row r="1972">
      <c r="A1972" s="40" t="inlineStr">
        <is>
          <t>0300697-88.2018.8.24.0028</t>
        </is>
      </c>
      <c r="B1972" s="40" t="inlineStr">
        <is>
          <t>Outras</t>
        </is>
      </c>
      <c r="D1972" s="67" t="inlineStr">
        <is>
          <t>Renata Francisco Becker</t>
        </is>
      </c>
      <c r="E1972" s="62" t="n">
        <v>44701</v>
      </c>
      <c r="F1972" s="67" t="inlineStr">
        <is>
          <t>1ª Vara</t>
        </is>
      </c>
    </row>
    <row r="1973">
      <c r="A1973" s="40" t="inlineStr">
        <is>
          <t>0007559-12.2017.8.24.0020</t>
        </is>
      </c>
      <c r="B1973" s="40" t="inlineStr">
        <is>
          <t>Outras</t>
        </is>
      </c>
      <c r="D1973" s="67" t="inlineStr">
        <is>
          <t>Renata Francisco Becker</t>
        </is>
      </c>
      <c r="E1973" s="62" t="n">
        <v>44701</v>
      </c>
      <c r="F1973" s="67" t="inlineStr">
        <is>
          <t>Juizado Especial Civel</t>
        </is>
      </c>
    </row>
    <row r="1974">
      <c r="A1974" s="40" t="inlineStr">
        <is>
          <t>0301551-19.2017.8.24.0028</t>
        </is>
      </c>
      <c r="B1974" s="40" t="inlineStr">
        <is>
          <t>Outras</t>
        </is>
      </c>
      <c r="D1974" s="67" t="inlineStr">
        <is>
          <t>Renata Francisco Becker</t>
        </is>
      </c>
      <c r="E1974" s="62" t="n">
        <v>44701</v>
      </c>
      <c r="F1974" s="67" t="inlineStr">
        <is>
          <t>1ª Vara</t>
        </is>
      </c>
    </row>
    <row r="1975">
      <c r="A1975" s="40" t="inlineStr">
        <is>
          <t>0301808-25.2016.8.24.0078</t>
        </is>
      </c>
      <c r="B1975" s="40" t="inlineStr">
        <is>
          <t>Outras</t>
        </is>
      </c>
      <c r="D1975" s="67" t="inlineStr">
        <is>
          <t>Renata Francisco Becker</t>
        </is>
      </c>
      <c r="E1975" s="62" t="n">
        <v>44701</v>
      </c>
      <c r="F1975" s="67" t="inlineStr">
        <is>
          <t>1ª Vara Urussanga</t>
        </is>
      </c>
    </row>
    <row r="1976">
      <c r="A1976" s="40" t="inlineStr">
        <is>
          <t>0301808-05.2016.8.24.0020</t>
        </is>
      </c>
      <c r="B1976" s="40" t="inlineStr">
        <is>
          <t>Outras</t>
        </is>
      </c>
      <c r="D1976" s="67" t="inlineStr">
        <is>
          <t>Renata Francisco Becker</t>
        </is>
      </c>
      <c r="E1976" s="62" t="n">
        <v>44701</v>
      </c>
      <c r="F1976" s="67" t="inlineStr">
        <is>
          <t>Juizado Especial Civel Criciuma</t>
        </is>
      </c>
    </row>
    <row r="1977">
      <c r="A1977" s="40" t="inlineStr">
        <is>
          <t>0304325-46.2017.8.24.0020</t>
        </is>
      </c>
      <c r="B1977" s="40" t="inlineStr">
        <is>
          <t>Outras</t>
        </is>
      </c>
      <c r="D1977" s="67" t="inlineStr">
        <is>
          <t>Renata Francisco Becker</t>
        </is>
      </c>
      <c r="E1977" s="62" t="n">
        <v>44701</v>
      </c>
      <c r="F1977" s="67" t="inlineStr">
        <is>
          <t>Juizado Especial Civel</t>
        </is>
      </c>
    </row>
    <row r="1978">
      <c r="A1978" s="40" t="inlineStr">
        <is>
          <t>0300346-18.2018.8.24.0028</t>
        </is>
      </c>
      <c r="B1978" s="40" t="inlineStr">
        <is>
          <t>Outras</t>
        </is>
      </c>
      <c r="D1978" s="67" t="inlineStr">
        <is>
          <t>Renata Francisco Becker</t>
        </is>
      </c>
      <c r="E1978" s="62" t="n">
        <v>44701</v>
      </c>
      <c r="F1978" s="67" t="inlineStr">
        <is>
          <t>1ª Vara</t>
        </is>
      </c>
    </row>
    <row r="1979">
      <c r="A1979" s="40" t="inlineStr">
        <is>
          <t>0309697-73.2017.8.24.0020</t>
        </is>
      </c>
      <c r="B1979" s="40" t="inlineStr">
        <is>
          <t>Outras</t>
        </is>
      </c>
      <c r="D1979" s="67" t="inlineStr">
        <is>
          <t>Renata Francisco Becker</t>
        </is>
      </c>
      <c r="E1979" s="62" t="n">
        <v>44701</v>
      </c>
      <c r="F1979" s="67" t="inlineStr">
        <is>
          <t>2ª Vara Da Fazenda</t>
        </is>
      </c>
    </row>
    <row r="1980">
      <c r="A1980" s="40" t="inlineStr">
        <is>
          <t>0307048-72.2016.8.24.0020</t>
        </is>
      </c>
      <c r="B1980" s="40" t="inlineStr">
        <is>
          <t>Outras</t>
        </is>
      </c>
      <c r="D1980" s="67" t="inlineStr">
        <is>
          <t>Renata Francisco Becker</t>
        </is>
      </c>
      <c r="E1980" s="62" t="n">
        <v>44701</v>
      </c>
      <c r="F1980" s="67" t="inlineStr">
        <is>
          <t>3ª Vara Civel Criciuma</t>
        </is>
      </c>
    </row>
    <row r="1981">
      <c r="A1981" s="40" t="inlineStr">
        <is>
          <t>0313551-75.2017.8.24.0020</t>
        </is>
      </c>
      <c r="B1981" s="40" t="inlineStr">
        <is>
          <t>Outras</t>
        </is>
      </c>
      <c r="D1981" s="67" t="inlineStr">
        <is>
          <t>Renata Francisco Becker</t>
        </is>
      </c>
      <c r="E1981" s="62" t="n">
        <v>44701</v>
      </c>
      <c r="F1981" s="67" t="inlineStr">
        <is>
          <t>1ª Vara Da Fazenda</t>
        </is>
      </c>
    </row>
    <row r="1982">
      <c r="A1982" s="40" t="inlineStr">
        <is>
          <t>0301293-09.2017.8.24.0028</t>
        </is>
      </c>
      <c r="B1982" s="40" t="inlineStr">
        <is>
          <t>Outras</t>
        </is>
      </c>
      <c r="D1982" s="67" t="inlineStr">
        <is>
          <t>Renata Francisco Becker</t>
        </is>
      </c>
      <c r="E1982" s="62" t="n">
        <v>44701</v>
      </c>
      <c r="F1982" s="67" t="inlineStr">
        <is>
          <t>1ª Vara</t>
        </is>
      </c>
    </row>
    <row r="1983">
      <c r="A1983" s="40" t="inlineStr">
        <is>
          <t>0000022-14.2019.8.24.0175</t>
        </is>
      </c>
      <c r="B1983" s="40" t="inlineStr">
        <is>
          <t>Outras</t>
        </is>
      </c>
      <c r="D1983" s="67" t="inlineStr">
        <is>
          <t>Renata Francisco Becker</t>
        </is>
      </c>
      <c r="E1983" s="62" t="n">
        <v>44701</v>
      </c>
      <c r="F1983" s="67" t="inlineStr">
        <is>
          <t>Unidade Regional De Direito Bancario Do Litoral Sul Catarinense</t>
        </is>
      </c>
    </row>
    <row r="1984">
      <c r="A1984" s="40" t="inlineStr">
        <is>
          <t>0303512-19.2017.8.24.0020</t>
        </is>
      </c>
      <c r="B1984" s="40" t="inlineStr">
        <is>
          <t>Outras</t>
        </is>
      </c>
      <c r="D1984" s="67" t="inlineStr">
        <is>
          <t>Renata Francisco Becker</t>
        </is>
      </c>
      <c r="E1984" s="62" t="n">
        <v>44701</v>
      </c>
      <c r="F1984" s="67" t="inlineStr">
        <is>
          <t>Juizado Especial Civel</t>
        </is>
      </c>
    </row>
    <row r="1985">
      <c r="A1985" s="40" t="inlineStr">
        <is>
          <t>0300609-16.2019.8.24.0028</t>
        </is>
      </c>
      <c r="B1985" s="40" t="inlineStr">
        <is>
          <t>Outras</t>
        </is>
      </c>
      <c r="D1985" s="67" t="inlineStr">
        <is>
          <t>Renata Francisco Becker</t>
        </is>
      </c>
      <c r="E1985" s="62" t="n">
        <v>44701</v>
      </c>
      <c r="F1985" s="67" t="inlineStr">
        <is>
          <t>1ª Vara</t>
        </is>
      </c>
    </row>
    <row r="1986">
      <c r="A1986" s="40" t="inlineStr">
        <is>
          <t>0305260-23.2016.8.24.0020</t>
        </is>
      </c>
      <c r="B1986" s="40" t="inlineStr">
        <is>
          <t>Outras</t>
        </is>
      </c>
      <c r="D1986" s="67" t="inlineStr">
        <is>
          <t>Renata Francisco Becker</t>
        </is>
      </c>
      <c r="E1986" s="62" t="n">
        <v>44701</v>
      </c>
      <c r="F1986" s="67" t="inlineStr">
        <is>
          <t>2ª Vara Civel Criciuma</t>
        </is>
      </c>
    </row>
    <row r="1987">
      <c r="A1987" s="40" t="inlineStr">
        <is>
          <t>0300344-48.2018.8.24.0028</t>
        </is>
      </c>
      <c r="B1987" s="40" t="inlineStr">
        <is>
          <t>Outras</t>
        </is>
      </c>
      <c r="D1987" s="67" t="inlineStr">
        <is>
          <t>Renata Francisco Becker</t>
        </is>
      </c>
      <c r="E1987" s="62" t="n">
        <v>44701</v>
      </c>
      <c r="F1987" s="67" t="inlineStr">
        <is>
          <t>1ª Vara</t>
        </is>
      </c>
    </row>
    <row r="1988">
      <c r="A1988" s="40" t="inlineStr">
        <is>
          <t>5025230-21.2021.8.24.0020</t>
        </is>
      </c>
      <c r="B1988" s="40" t="inlineStr">
        <is>
          <t>Outras</t>
        </is>
      </c>
      <c r="D1988" s="67" t="inlineStr">
        <is>
          <t>Renata Francisco Becker</t>
        </is>
      </c>
      <c r="E1988" s="62" t="n">
        <v>44701</v>
      </c>
      <c r="F1988" s="67" t="inlineStr">
        <is>
          <t>Juizo Da 2ª Vara Da Fazenda Publica Da Comarca De Criciuma</t>
        </is>
      </c>
    </row>
    <row r="1989">
      <c r="A1989" s="40" t="inlineStr">
        <is>
          <t>5014572-69.2020.8.24.0020</t>
        </is>
      </c>
      <c r="B1989" s="40" t="inlineStr">
        <is>
          <t>Outras</t>
        </is>
      </c>
      <c r="D1989" s="67" t="inlineStr">
        <is>
          <t>Renata Francisco Becker</t>
        </is>
      </c>
      <c r="E1989" s="62" t="n">
        <v>44701</v>
      </c>
      <c r="F1989" s="67" t="inlineStr">
        <is>
          <t>Juizo Do Juizado Especial Civel Da Comarca De Criciuma</t>
        </is>
      </c>
    </row>
    <row r="1990">
      <c r="A1990" s="40" t="inlineStr">
        <is>
          <t>0302898-77.2018.8.24.0020</t>
        </is>
      </c>
      <c r="B1990" s="40" t="inlineStr">
        <is>
          <t>Outras</t>
        </is>
      </c>
      <c r="D1990" s="67" t="inlineStr">
        <is>
          <t>Renata Francisco Becker</t>
        </is>
      </c>
      <c r="E1990" s="62" t="n">
        <v>44701</v>
      </c>
      <c r="F1990" s="67" t="inlineStr">
        <is>
          <t>1ª Vara Da Fazenda</t>
        </is>
      </c>
    </row>
    <row r="1991">
      <c r="A1991" s="40" t="inlineStr">
        <is>
          <t>0300555-50.2019.8.24.0028</t>
        </is>
      </c>
      <c r="B1991" s="40" t="inlineStr">
        <is>
          <t>Outras</t>
        </is>
      </c>
      <c r="D1991" s="67" t="inlineStr">
        <is>
          <t>Renata Francisco Becker</t>
        </is>
      </c>
      <c r="E1991" s="62" t="n">
        <v>44701</v>
      </c>
      <c r="F1991" s="67" t="inlineStr">
        <is>
          <t>1ª Vara</t>
        </is>
      </c>
    </row>
    <row r="1992">
      <c r="A1992" s="40" t="inlineStr">
        <is>
          <t>0300557-20.2019.8.24.0028</t>
        </is>
      </c>
      <c r="B1992" s="40" t="inlineStr">
        <is>
          <t>Outras</t>
        </is>
      </c>
      <c r="D1992" s="67" t="inlineStr">
        <is>
          <t>Renata Francisco Becker</t>
        </is>
      </c>
      <c r="E1992" s="62" t="n">
        <v>44701</v>
      </c>
      <c r="F1992" s="67" t="inlineStr">
        <is>
          <t>1ª Vara</t>
        </is>
      </c>
    </row>
    <row r="1993">
      <c r="A1993" s="40" t="inlineStr">
        <is>
          <t>0300556-35.2019.8.24.0028</t>
        </is>
      </c>
      <c r="B1993" s="40" t="inlineStr">
        <is>
          <t>Outras</t>
        </is>
      </c>
      <c r="D1993" s="67" t="inlineStr">
        <is>
          <t>Renata Francisco Becker</t>
        </is>
      </c>
      <c r="E1993" s="62" t="n">
        <v>44701</v>
      </c>
      <c r="F1993" s="67" t="inlineStr">
        <is>
          <t>1ª Vara</t>
        </is>
      </c>
    </row>
    <row r="1994">
      <c r="A1994" s="40" t="inlineStr">
        <is>
          <t>0301990-30.2017.8.24.0028</t>
        </is>
      </c>
      <c r="B1994" s="40" t="inlineStr">
        <is>
          <t>Outras</t>
        </is>
      </c>
      <c r="D1994" s="67" t="inlineStr">
        <is>
          <t>Renata Francisco Becker</t>
        </is>
      </c>
      <c r="E1994" s="62" t="n">
        <v>44701</v>
      </c>
      <c r="F1994" s="67" t="inlineStr">
        <is>
          <t>1ª Vara</t>
        </is>
      </c>
    </row>
    <row r="1995">
      <c r="A1995" s="40" t="inlineStr">
        <is>
          <t>0300700-43.2018.8.24.0028</t>
        </is>
      </c>
      <c r="B1995" s="40" t="inlineStr">
        <is>
          <t>Outras</t>
        </is>
      </c>
      <c r="D1995" s="67" t="inlineStr">
        <is>
          <t>Renata Francisco Becker</t>
        </is>
      </c>
      <c r="E1995" s="62" t="n">
        <v>44701</v>
      </c>
      <c r="F1995" s="67" t="inlineStr">
        <is>
          <t>1ª Vara</t>
        </is>
      </c>
    </row>
    <row r="1996">
      <c r="A1996" s="40" t="inlineStr">
        <is>
          <t>0305426-84.2018.8.24.0020</t>
        </is>
      </c>
      <c r="B1996" s="40" t="inlineStr">
        <is>
          <t>Outras</t>
        </is>
      </c>
      <c r="D1996" s="67" t="inlineStr">
        <is>
          <t>Renata Francisco Becker</t>
        </is>
      </c>
      <c r="E1996" s="62" t="n">
        <v>44701</v>
      </c>
      <c r="F1996" s="67" t="inlineStr">
        <is>
          <t>Juizado Especial Civel</t>
        </is>
      </c>
    </row>
    <row r="1997">
      <c r="A1997" s="40" t="inlineStr">
        <is>
          <t>0301297-70.2017.8.24.0020</t>
        </is>
      </c>
      <c r="B1997" s="40" t="inlineStr">
        <is>
          <t>Outras</t>
        </is>
      </c>
      <c r="D1997" s="67" t="inlineStr">
        <is>
          <t>Renata Francisco Becker</t>
        </is>
      </c>
      <c r="E1997" s="62" t="n">
        <v>44701</v>
      </c>
      <c r="F1997" s="67" t="inlineStr">
        <is>
          <t>2ª Vara Civel Criciuma</t>
        </is>
      </c>
    </row>
    <row r="1998">
      <c r="A1998" s="40" t="inlineStr">
        <is>
          <t>0307008-90.2016.8.24.0020</t>
        </is>
      </c>
      <c r="B1998" s="40" t="inlineStr">
        <is>
          <t>Outras</t>
        </is>
      </c>
      <c r="D1998" s="67" t="inlineStr">
        <is>
          <t>Renata Francisco Becker</t>
        </is>
      </c>
      <c r="E1998" s="62" t="n">
        <v>44701</v>
      </c>
      <c r="F1998" s="67" t="inlineStr">
        <is>
          <t>2ª Vara Da Fazenda Criciuma</t>
        </is>
      </c>
    </row>
    <row r="1999">
      <c r="A1999" s="40" t="inlineStr">
        <is>
          <t>0311703-87.2016.8.24.0020</t>
        </is>
      </c>
      <c r="B1999" s="40" t="inlineStr">
        <is>
          <t>Outras</t>
        </is>
      </c>
      <c r="D1999" s="67" t="inlineStr">
        <is>
          <t>Renata Francisco Becker</t>
        </is>
      </c>
      <c r="E1999" s="62" t="n">
        <v>44701</v>
      </c>
      <c r="F1999" s="67" t="inlineStr">
        <is>
          <t>1ª Vara Da Fazenda Criciuma</t>
        </is>
      </c>
    </row>
    <row r="2000">
      <c r="A2000" s="40" t="inlineStr">
        <is>
          <t>0305306-75.2017.8.24.0020</t>
        </is>
      </c>
      <c r="B2000" s="40" t="inlineStr">
        <is>
          <t>Outras</t>
        </is>
      </c>
      <c r="D2000" s="67" t="inlineStr">
        <is>
          <t>Renata Francisco Becker</t>
        </is>
      </c>
      <c r="E2000" s="62" t="n">
        <v>44701</v>
      </c>
      <c r="F2000" s="67" t="inlineStr">
        <is>
          <t>Juizado Especial Civel</t>
        </is>
      </c>
    </row>
    <row r="2001">
      <c r="A2001" s="40" t="inlineStr">
        <is>
          <t>0300818-29.2019.8.24.0078</t>
        </is>
      </c>
      <c r="B2001" s="40" t="inlineStr">
        <is>
          <t>Outras</t>
        </is>
      </c>
      <c r="D2001" s="67" t="inlineStr">
        <is>
          <t>Renata Francisco Becker</t>
        </is>
      </c>
      <c r="E2001" s="62" t="n">
        <v>44701</v>
      </c>
      <c r="F2001" s="67" t="inlineStr">
        <is>
          <t>1ª Vara</t>
        </is>
      </c>
    </row>
    <row r="2002">
      <c r="A2002" s="40" t="inlineStr">
        <is>
          <t>0304455-36.2017.8.24.0020</t>
        </is>
      </c>
      <c r="B2002" s="40" t="inlineStr">
        <is>
          <t>Outras</t>
        </is>
      </c>
      <c r="D2002" s="67" t="inlineStr">
        <is>
          <t>Renata Francisco Becker</t>
        </is>
      </c>
      <c r="E2002" s="62" t="n">
        <v>44701</v>
      </c>
      <c r="F2002" s="67" t="inlineStr">
        <is>
          <t>1ª Vara Da Fazenda</t>
        </is>
      </c>
    </row>
    <row r="2003">
      <c r="A2003" s="40" t="inlineStr">
        <is>
          <t>0300120-03.2019.8.24.0020</t>
        </is>
      </c>
      <c r="B2003" s="40" t="inlineStr">
        <is>
          <t>Outras</t>
        </is>
      </c>
      <c r="D2003" s="67" t="inlineStr">
        <is>
          <t>Renata Francisco Becker</t>
        </is>
      </c>
      <c r="E2003" s="62" t="n">
        <v>44701</v>
      </c>
      <c r="F2003" s="67" t="inlineStr">
        <is>
          <t>3ª Vara Civel</t>
        </is>
      </c>
    </row>
    <row r="2004">
      <c r="A2004" s="40" t="n"/>
      <c r="B2004" s="40" t="inlineStr">
        <is>
          <t>Outras</t>
        </is>
      </c>
      <c r="D2004" s="67" t="inlineStr">
        <is>
          <t>Pedro Victor</t>
        </is>
      </c>
      <c r="E2004" s="62" t="n">
        <v>45596</v>
      </c>
    </row>
    <row r="2005">
      <c r="A2005" s="40" t="inlineStr">
        <is>
          <t>0024402-28.2012.8.24.0020</t>
        </is>
      </c>
      <c r="B2005" s="40" t="inlineStr">
        <is>
          <t>Outras</t>
        </is>
      </c>
      <c r="D2005" s="67" t="inlineStr">
        <is>
          <t>Renata Francisco Becker</t>
        </is>
      </c>
      <c r="E2005" s="62" t="n">
        <v>44701</v>
      </c>
      <c r="F2005" s="67" t="inlineStr">
        <is>
          <t>3ª Vara Civel Criciuma</t>
        </is>
      </c>
    </row>
    <row r="2006">
      <c r="A2006" s="40" t="inlineStr">
        <is>
          <t>0302538-79.2017.8.24.0020</t>
        </is>
      </c>
      <c r="B2006" s="40" t="inlineStr">
        <is>
          <t>Outras</t>
        </is>
      </c>
      <c r="D2006" s="67" t="inlineStr">
        <is>
          <t>Renata Francisco Becker</t>
        </is>
      </c>
      <c r="E2006" s="62" t="n">
        <v>44701</v>
      </c>
      <c r="F2006" s="67" t="inlineStr">
        <is>
          <t>Juizado Especial Civel</t>
        </is>
      </c>
    </row>
    <row r="2007">
      <c r="A2007" s="40" t="inlineStr">
        <is>
          <t>0000544-23.2020.5.12.0003</t>
        </is>
      </c>
      <c r="B2007" s="40" t="inlineStr">
        <is>
          <t>Outras</t>
        </is>
      </c>
      <c r="D2007" s="67" t="inlineStr">
        <is>
          <t>Renata Francisco Becker</t>
        </is>
      </c>
      <c r="E2007" s="62" t="n">
        <v>44701</v>
      </c>
      <c r="F2007" s="67" t="inlineStr">
        <is>
          <t>1ª Vara Do Trabalho De Criciuma</t>
        </is>
      </c>
    </row>
    <row r="2008">
      <c r="A2008" s="40" t="inlineStr">
        <is>
          <t>0001734-87.2017.8.24.0020</t>
        </is>
      </c>
      <c r="B2008" s="40" t="inlineStr">
        <is>
          <t>Outras</t>
        </is>
      </c>
      <c r="D2008" s="67" t="inlineStr">
        <is>
          <t>Renata Francisco Becker</t>
        </is>
      </c>
      <c r="E2008" s="62" t="n">
        <v>44701</v>
      </c>
      <c r="F2008" s="67" t="inlineStr">
        <is>
          <t>1ª Vara Da Fazenda Criciuma</t>
        </is>
      </c>
    </row>
    <row r="2009">
      <c r="A2009" s="40" t="inlineStr">
        <is>
          <t>0309895-47.2016.8.24.0020</t>
        </is>
      </c>
      <c r="B2009" s="40" t="inlineStr">
        <is>
          <t>Outras</t>
        </is>
      </c>
      <c r="D2009" s="67" t="inlineStr">
        <is>
          <t>Renata Francisco Becker</t>
        </is>
      </c>
      <c r="E2009" s="62" t="n">
        <v>44701</v>
      </c>
      <c r="F2009" s="67" t="inlineStr">
        <is>
          <t>1ª Vara Da Fazenda Criciuma</t>
        </is>
      </c>
    </row>
    <row r="2010">
      <c r="A2010" s="40" t="inlineStr">
        <is>
          <t>0006549-93.2018.8.24.0020</t>
        </is>
      </c>
      <c r="B2010" s="40" t="inlineStr">
        <is>
          <t>Outras</t>
        </is>
      </c>
      <c r="D2010" s="67" t="inlineStr">
        <is>
          <t>Renata Francisco Becker</t>
        </is>
      </c>
      <c r="E2010" s="62" t="n">
        <v>44701</v>
      </c>
      <c r="F2010" s="67" t="inlineStr">
        <is>
          <t>1ª Vara Civel</t>
        </is>
      </c>
    </row>
    <row r="2011">
      <c r="A2011" s="40" t="inlineStr">
        <is>
          <t>0308163-60.2018.8.24.0020</t>
        </is>
      </c>
      <c r="B2011" s="40" t="inlineStr">
        <is>
          <t>Outras</t>
        </is>
      </c>
      <c r="D2011" s="67" t="inlineStr">
        <is>
          <t>Renata Francisco Becker</t>
        </is>
      </c>
      <c r="E2011" s="62" t="n">
        <v>44701</v>
      </c>
      <c r="F2011" s="67" t="inlineStr">
        <is>
          <t>Juizado Especial Civel</t>
        </is>
      </c>
    </row>
    <row r="2012">
      <c r="A2012" s="40" t="inlineStr">
        <is>
          <t>0306015-47.2016.8.24.0020</t>
        </is>
      </c>
      <c r="B2012" s="40" t="inlineStr">
        <is>
          <t>Outras</t>
        </is>
      </c>
      <c r="D2012" s="67" t="inlineStr">
        <is>
          <t>Renata Francisco Becker</t>
        </is>
      </c>
      <c r="E2012" s="62" t="n">
        <v>44701</v>
      </c>
      <c r="F2012" s="67" t="inlineStr">
        <is>
          <t>1ª Vara Civel Criciuma</t>
        </is>
      </c>
    </row>
    <row r="2013">
      <c r="A2013" s="40" t="inlineStr">
        <is>
          <t>5003536-06.2020.8.24.0028</t>
        </is>
      </c>
      <c r="B2013" s="40" t="inlineStr">
        <is>
          <t>Outras</t>
        </is>
      </c>
      <c r="D2013" s="67" t="inlineStr">
        <is>
          <t>Renata Francisco Becker</t>
        </is>
      </c>
      <c r="E2013" s="62" t="n">
        <v>44701</v>
      </c>
      <c r="F2013" s="67" t="inlineStr">
        <is>
          <t>Juizo Da 1ª Vara Da Comarca De Icara</t>
        </is>
      </c>
    </row>
    <row r="2014">
      <c r="A2014" s="40" t="inlineStr">
        <is>
          <t>0307269-84.2018.8.24.0020</t>
        </is>
      </c>
      <c r="B2014" s="40" t="inlineStr">
        <is>
          <t>Outras</t>
        </is>
      </c>
      <c r="D2014" s="67" t="inlineStr">
        <is>
          <t>Renata Francisco Becker</t>
        </is>
      </c>
      <c r="E2014" s="62" t="n">
        <v>44701</v>
      </c>
      <c r="F2014" s="67" t="inlineStr">
        <is>
          <t>1ª Vara Da Fazenda</t>
        </is>
      </c>
    </row>
    <row r="2015">
      <c r="A2015" s="40" t="inlineStr">
        <is>
          <t>0002092-77.2020.8.16.0179</t>
        </is>
      </c>
      <c r="B2015" s="40" t="inlineStr">
        <is>
          <t>Outras</t>
        </is>
      </c>
      <c r="D2015" s="67" t="inlineStr">
        <is>
          <t>Renata Francisco Becker</t>
        </is>
      </c>
      <c r="E2015" s="62" t="n">
        <v>44701</v>
      </c>
      <c r="F2015" s="67" t="inlineStr">
        <is>
          <t>Vara De Registros Publicos E Corregedoria Do Foro Extrajudicial De Curitiba</t>
        </is>
      </c>
    </row>
    <row r="2016">
      <c r="A2016" s="40" t="inlineStr">
        <is>
          <t>0307481-71.2019.8.24.0020</t>
        </is>
      </c>
      <c r="B2016" s="40" t="inlineStr">
        <is>
          <t>Outras</t>
        </is>
      </c>
      <c r="D2016" s="67" t="inlineStr">
        <is>
          <t>Renata Francisco Becker</t>
        </is>
      </c>
      <c r="E2016" s="62" t="n">
        <v>44701</v>
      </c>
      <c r="F2016" s="67" t="inlineStr">
        <is>
          <t>2ª Vara Da Fazenda</t>
        </is>
      </c>
    </row>
    <row r="2017">
      <c r="A2017" s="40" t="inlineStr">
        <is>
          <t>0302024-92.2018.8.24.0020</t>
        </is>
      </c>
      <c r="B2017" s="40" t="inlineStr">
        <is>
          <t>Outras</t>
        </is>
      </c>
      <c r="D2017" s="67" t="inlineStr">
        <is>
          <t>Renata Francisco Becker</t>
        </is>
      </c>
      <c r="E2017" s="62" t="n">
        <v>44701</v>
      </c>
      <c r="F2017" s="67" t="inlineStr">
        <is>
          <t>4ª Vara Civel</t>
        </is>
      </c>
    </row>
    <row r="2018">
      <c r="A2018" s="40" t="inlineStr">
        <is>
          <t>0306183-49.2016.8.24.0020</t>
        </is>
      </c>
      <c r="B2018" s="40" t="inlineStr">
        <is>
          <t>Outras</t>
        </is>
      </c>
      <c r="D2018" s="67" t="inlineStr">
        <is>
          <t>Renata Francisco Becker</t>
        </is>
      </c>
      <c r="E2018" s="62" t="n">
        <v>44701</v>
      </c>
      <c r="F2018" s="67" t="inlineStr">
        <is>
          <t>1ª Vara Da Fazenda Criciuma</t>
        </is>
      </c>
    </row>
    <row r="2019">
      <c r="A2019" s="40" t="inlineStr">
        <is>
          <t>0302568-27.2016.8.24.0028</t>
        </is>
      </c>
      <c r="B2019" s="40" t="inlineStr">
        <is>
          <t>Outras</t>
        </is>
      </c>
      <c r="D2019" s="67" t="inlineStr">
        <is>
          <t>Renata Francisco Becker</t>
        </is>
      </c>
      <c r="E2019" s="62" t="n">
        <v>44701</v>
      </c>
      <c r="F2019" s="67" t="inlineStr">
        <is>
          <t>Unidade Regional De Direito Bancario Do Litoral Sul Catarinense</t>
        </is>
      </c>
    </row>
    <row r="2020">
      <c r="A2020" s="40" t="inlineStr">
        <is>
          <t>0300349-70.2018.8.24.0028</t>
        </is>
      </c>
      <c r="B2020" s="40" t="inlineStr">
        <is>
          <t>Outras</t>
        </is>
      </c>
      <c r="D2020" s="67" t="inlineStr">
        <is>
          <t>Renata Francisco Becker</t>
        </is>
      </c>
      <c r="E2020" s="62" t="n">
        <v>44701</v>
      </c>
      <c r="F2020" s="67" t="inlineStr">
        <is>
          <t>1ª Vara</t>
        </is>
      </c>
    </row>
    <row r="2021">
      <c r="A2021" s="40" t="inlineStr">
        <is>
          <t>0305257-68.2016.8.24.0020</t>
        </is>
      </c>
      <c r="B2021" s="40" t="inlineStr">
        <is>
          <t>Outras</t>
        </is>
      </c>
      <c r="D2021" s="67" t="inlineStr">
        <is>
          <t>Renata Francisco Becker</t>
        </is>
      </c>
      <c r="E2021" s="62" t="n">
        <v>44701</v>
      </c>
      <c r="F2021" s="67" t="inlineStr">
        <is>
          <t>Juizado Especial Civel Criciuma</t>
        </is>
      </c>
    </row>
    <row r="2022">
      <c r="A2022" s="40" t="inlineStr">
        <is>
          <t>0301437-46.2018.8.24.0028</t>
        </is>
      </c>
      <c r="B2022" s="40" t="inlineStr">
        <is>
          <t>Outras</t>
        </is>
      </c>
      <c r="D2022" s="67" t="inlineStr">
        <is>
          <t>Renata Francisco Becker</t>
        </is>
      </c>
      <c r="E2022" s="62" t="n">
        <v>44701</v>
      </c>
      <c r="F2022" s="67" t="inlineStr">
        <is>
          <t>1ª Vara</t>
        </is>
      </c>
    </row>
    <row r="2023">
      <c r="A2023" s="40" t="inlineStr">
        <is>
          <t>0176629</t>
        </is>
      </c>
      <c r="B2023" s="40" t="inlineStr">
        <is>
          <t>Outras</t>
        </is>
      </c>
      <c r="D2023" s="67" t="inlineStr">
        <is>
          <t xml:space="preserve">Lucas </t>
        </is>
      </c>
      <c r="E2023" s="62" t="n">
        <v>45741</v>
      </c>
      <c r="F2023" s="67" t="inlineStr"/>
    </row>
    <row r="2024">
      <c r="A2024" s="40" t="inlineStr">
        <is>
          <t>0002048-96.2018.8.24.0020</t>
        </is>
      </c>
      <c r="B2024" s="40" t="inlineStr">
        <is>
          <t>Outras</t>
        </is>
      </c>
      <c r="D2024" s="67" t="inlineStr">
        <is>
          <t>Renata Francisco Becker</t>
        </is>
      </c>
      <c r="E2024" s="62" t="n">
        <v>44701</v>
      </c>
      <c r="F2024" s="67" t="inlineStr">
        <is>
          <t>1ª Vara Civel</t>
        </is>
      </c>
    </row>
    <row r="2025">
      <c r="A2025" s="40" t="inlineStr">
        <is>
          <t>0303096-51.2017.8.24.0020</t>
        </is>
      </c>
      <c r="B2025" s="40" t="inlineStr">
        <is>
          <t>Outras</t>
        </is>
      </c>
      <c r="D2025" s="67" t="inlineStr">
        <is>
          <t>Renata Francisco Becker</t>
        </is>
      </c>
      <c r="E2025" s="62" t="n">
        <v>44701</v>
      </c>
      <c r="F2025" s="67" t="inlineStr">
        <is>
          <t>Juizado Especial Civel</t>
        </is>
      </c>
    </row>
    <row r="2026">
      <c r="A2026" s="40" t="inlineStr">
        <is>
          <t>0308269-90.2016.8.24.0020</t>
        </is>
      </c>
      <c r="B2026" s="40" t="inlineStr">
        <is>
          <t>Outras</t>
        </is>
      </c>
      <c r="D2026" s="67" t="inlineStr">
        <is>
          <t>Renata Francisco Becker</t>
        </is>
      </c>
      <c r="E2026" s="62" t="n">
        <v>44701</v>
      </c>
      <c r="F2026" s="67" t="inlineStr">
        <is>
          <t>3ª Vara Civel Criciuma</t>
        </is>
      </c>
    </row>
    <row r="2027">
      <c r="A2027" s="40" t="inlineStr">
        <is>
          <t>0300025-70.2019.8.24.0020</t>
        </is>
      </c>
      <c r="B2027" s="40" t="inlineStr">
        <is>
          <t>Outras</t>
        </is>
      </c>
      <c r="D2027" s="67" t="inlineStr">
        <is>
          <t>Renata Francisco Becker</t>
        </is>
      </c>
      <c r="E2027" s="62" t="n">
        <v>44701</v>
      </c>
      <c r="F2027" s="67" t="inlineStr">
        <is>
          <t>1ª Vara Da Fazenda</t>
        </is>
      </c>
    </row>
    <row r="2028">
      <c r="A2028" s="40" t="inlineStr">
        <is>
          <t>0301996-37.2017.8.24.0028</t>
        </is>
      </c>
      <c r="B2028" s="40" t="inlineStr">
        <is>
          <t>Outras</t>
        </is>
      </c>
      <c r="D2028" s="67" t="inlineStr">
        <is>
          <t>Renata Francisco Becker</t>
        </is>
      </c>
      <c r="E2028" s="62" t="n">
        <v>44701</v>
      </c>
      <c r="F2028" s="67" t="inlineStr">
        <is>
          <t>1ª Vara</t>
        </is>
      </c>
    </row>
    <row r="2029">
      <c r="A2029" s="40" t="n"/>
      <c r="B2029" s="40" t="inlineStr">
        <is>
          <t>Outras</t>
        </is>
      </c>
      <c r="D2029" s="67" t="inlineStr">
        <is>
          <t>Marelize Controladoria</t>
        </is>
      </c>
      <c r="E2029" s="62" t="n">
        <v>46043</v>
      </c>
    </row>
    <row r="2030">
      <c r="A2030" s="40" t="inlineStr">
        <is>
          <t>5014235-80.2020.8.24.0020</t>
        </is>
      </c>
      <c r="B2030" s="40" t="inlineStr">
        <is>
          <t>Outras</t>
        </is>
      </c>
      <c r="D2030" s="67" t="inlineStr">
        <is>
          <t>Renata Francisco Becker</t>
        </is>
      </c>
      <c r="E2030" s="62" t="n">
        <v>44701</v>
      </c>
      <c r="F2030" s="67" t="inlineStr">
        <is>
          <t>Juizo Da 1ª Vara Da Fazenda Publica Da Comarca De Criciuma</t>
        </is>
      </c>
    </row>
    <row r="2031">
      <c r="A2031" s="40" t="inlineStr">
        <is>
          <t>0306541-77.2017.8.24.0020</t>
        </is>
      </c>
      <c r="B2031" s="40" t="inlineStr">
        <is>
          <t>Outras</t>
        </is>
      </c>
      <c r="D2031" s="67" t="inlineStr">
        <is>
          <t>Renata Francisco Becker</t>
        </is>
      </c>
      <c r="E2031" s="62" t="n">
        <v>44701</v>
      </c>
      <c r="F2031" s="67" t="inlineStr">
        <is>
          <t>1ª Vara Da Fazenda</t>
        </is>
      </c>
    </row>
    <row r="2032">
      <c r="A2032" s="40" t="inlineStr">
        <is>
          <t>0300808-80.2017.8.24.0166</t>
        </is>
      </c>
      <c r="B2032" s="40" t="inlineStr">
        <is>
          <t>Outras</t>
        </is>
      </c>
      <c r="D2032" s="67" t="inlineStr">
        <is>
          <t>Renata Francisco Becker</t>
        </is>
      </c>
      <c r="E2032" s="62" t="n">
        <v>44701</v>
      </c>
      <c r="F2032" s="67" t="inlineStr">
        <is>
          <t>Vara Unica</t>
        </is>
      </c>
    </row>
    <row r="2033">
      <c r="A2033" s="40" t="inlineStr">
        <is>
          <t>0305677-39.2017.8.24.0020</t>
        </is>
      </c>
      <c r="B2033" s="40" t="inlineStr">
        <is>
          <t>Outras</t>
        </is>
      </c>
      <c r="D2033" s="67" t="inlineStr">
        <is>
          <t>Renata Francisco Becker</t>
        </is>
      </c>
      <c r="E2033" s="62" t="n">
        <v>44701</v>
      </c>
      <c r="F2033" s="67" t="inlineStr">
        <is>
          <t>1ª Vara Da Fazenda</t>
        </is>
      </c>
    </row>
    <row r="2034">
      <c r="A2034" s="40" t="inlineStr">
        <is>
          <t>0305837-98.2016.8.24.0020</t>
        </is>
      </c>
      <c r="B2034" s="40" t="inlineStr">
        <is>
          <t>Outras</t>
        </is>
      </c>
      <c r="D2034" s="67" t="inlineStr">
        <is>
          <t>Renata Francisco Becker</t>
        </is>
      </c>
      <c r="E2034" s="62" t="n">
        <v>44701</v>
      </c>
      <c r="F2034" s="67" t="inlineStr">
        <is>
          <t>3ª Vara Civel Criciuma</t>
        </is>
      </c>
    </row>
    <row r="2035">
      <c r="A2035" s="40" t="inlineStr">
        <is>
          <t>0302210-44.2018.8.24.0076</t>
        </is>
      </c>
      <c r="B2035" s="40" t="inlineStr">
        <is>
          <t>Outras</t>
        </is>
      </c>
      <c r="D2035" s="67" t="inlineStr">
        <is>
          <t>Renata Francisco Becker</t>
        </is>
      </c>
      <c r="E2035" s="62" t="n">
        <v>44701</v>
      </c>
      <c r="F2035" s="67" t="inlineStr">
        <is>
          <t>Vara Unica</t>
        </is>
      </c>
    </row>
    <row r="2036">
      <c r="A2036" s="40" t="inlineStr">
        <is>
          <t>0003935-52.2017.8.24.0020</t>
        </is>
      </c>
      <c r="B2036" s="40" t="inlineStr">
        <is>
          <t>Outras</t>
        </is>
      </c>
      <c r="D2036" s="67" t="inlineStr">
        <is>
          <t>Renata Francisco Becker</t>
        </is>
      </c>
      <c r="E2036" s="62" t="n">
        <v>44701</v>
      </c>
      <c r="F2036" s="67" t="inlineStr">
        <is>
          <t>1ª Vara Civel</t>
        </is>
      </c>
    </row>
    <row r="2037">
      <c r="A2037" s="40" t="inlineStr">
        <is>
          <t>0300927-04.2016.8.24.0028</t>
        </is>
      </c>
      <c r="B2037" s="40" t="inlineStr">
        <is>
          <t>Outras</t>
        </is>
      </c>
      <c r="D2037" s="67" t="inlineStr">
        <is>
          <t>Renata Francisco Becker</t>
        </is>
      </c>
      <c r="E2037" s="62" t="n">
        <v>44701</v>
      </c>
      <c r="F2037" s="67" t="inlineStr">
        <is>
          <t>2ª Vara Icara</t>
        </is>
      </c>
    </row>
    <row r="2038">
      <c r="A2038" s="40" t="inlineStr">
        <is>
          <t>0301409-78.2018.8.24.0028</t>
        </is>
      </c>
      <c r="B2038" s="40" t="inlineStr">
        <is>
          <t>Outras</t>
        </is>
      </c>
      <c r="D2038" s="67" t="inlineStr">
        <is>
          <t>Renata Francisco Becker</t>
        </is>
      </c>
      <c r="E2038" s="62" t="n">
        <v>44701</v>
      </c>
      <c r="F2038" s="67" t="inlineStr">
        <is>
          <t>1ª Vara</t>
        </is>
      </c>
    </row>
    <row r="2039">
      <c r="A2039" s="40" t="inlineStr">
        <is>
          <t>5001822-61.2020.8.24.0076</t>
        </is>
      </c>
      <c r="B2039" s="40" t="inlineStr">
        <is>
          <t>Outras</t>
        </is>
      </c>
      <c r="D2039" s="67" t="inlineStr">
        <is>
          <t>Renata Francisco Becker</t>
        </is>
      </c>
      <c r="E2039" s="62" t="n">
        <v>44701</v>
      </c>
      <c r="F2039" s="67" t="inlineStr">
        <is>
          <t>Juizo Da Vara Unica Da Comarca De Turvo</t>
        </is>
      </c>
    </row>
    <row r="2040">
      <c r="A2040" s="40" t="inlineStr">
        <is>
          <t>0302012-88.2017.8.24.0028</t>
        </is>
      </c>
      <c r="B2040" s="40" t="inlineStr">
        <is>
          <t>Outras</t>
        </is>
      </c>
      <c r="D2040" s="67" t="inlineStr">
        <is>
          <t>Renata Francisco Becker</t>
        </is>
      </c>
      <c r="E2040" s="62" t="n">
        <v>44701</v>
      </c>
      <c r="F2040" s="67" t="inlineStr">
        <is>
          <t>1ª Vara</t>
        </is>
      </c>
    </row>
    <row r="2041">
      <c r="A2041" s="40" t="inlineStr">
        <is>
          <t>0300347-03.2018.8.24.0028</t>
        </is>
      </c>
      <c r="B2041" s="40" t="inlineStr">
        <is>
          <t>Outras</t>
        </is>
      </c>
      <c r="D2041" s="67" t="inlineStr">
        <is>
          <t>Renata Francisco Becker</t>
        </is>
      </c>
      <c r="E2041" s="62" t="n">
        <v>44701</v>
      </c>
      <c r="F2041" s="67" t="inlineStr">
        <is>
          <t>1ª Vara</t>
        </is>
      </c>
    </row>
    <row r="2042">
      <c r="A2042" s="40" t="inlineStr">
        <is>
          <t>0301991-15.2017.8.24.0028</t>
        </is>
      </c>
      <c r="B2042" s="40" t="inlineStr">
        <is>
          <t>Outras</t>
        </is>
      </c>
      <c r="D2042" s="67" t="inlineStr">
        <is>
          <t>Renata Francisco Becker</t>
        </is>
      </c>
      <c r="E2042" s="62" t="n">
        <v>44701</v>
      </c>
      <c r="F2042" s="67" t="inlineStr">
        <is>
          <t>1ª Vara</t>
        </is>
      </c>
    </row>
    <row r="2043">
      <c r="A2043" s="40" t="inlineStr">
        <is>
          <t>0307800-10.2017.8.24.0020</t>
        </is>
      </c>
      <c r="B2043" s="40" t="inlineStr">
        <is>
          <t>Outras</t>
        </is>
      </c>
      <c r="D2043" s="67" t="inlineStr">
        <is>
          <t>Renata Francisco Becker</t>
        </is>
      </c>
      <c r="E2043" s="62" t="n">
        <v>44701</v>
      </c>
      <c r="F2043" s="67" t="inlineStr">
        <is>
          <t>1ª Vara Civel</t>
        </is>
      </c>
    </row>
    <row r="2044">
      <c r="A2044" s="40" t="inlineStr">
        <is>
          <t>0000315-88.2018.8.24.0087</t>
        </is>
      </c>
      <c r="B2044" s="40" t="inlineStr">
        <is>
          <t>Outras</t>
        </is>
      </c>
      <c r="D2044" s="67" t="inlineStr">
        <is>
          <t>Renata Francisco Becker</t>
        </is>
      </c>
      <c r="E2044" s="62" t="n">
        <v>44701</v>
      </c>
      <c r="F2044" s="67" t="inlineStr">
        <is>
          <t>Vara Unica</t>
        </is>
      </c>
    </row>
    <row r="2045">
      <c r="A2045" s="40" t="inlineStr">
        <is>
          <t>0302866-38.2019.8.24.0020</t>
        </is>
      </c>
      <c r="B2045" s="40" t="inlineStr">
        <is>
          <t>Outras</t>
        </is>
      </c>
      <c r="D2045" s="67" t="inlineStr">
        <is>
          <t>Renata Francisco Becker</t>
        </is>
      </c>
      <c r="E2045" s="62" t="n">
        <v>44701</v>
      </c>
      <c r="F2045" s="67" t="inlineStr">
        <is>
          <t>1ª Vara Da Fazenda</t>
        </is>
      </c>
    </row>
    <row r="2046">
      <c r="A2046" s="40" t="inlineStr">
        <is>
          <t>0307758-92.2016.8.24.0020</t>
        </is>
      </c>
      <c r="B2046" s="40" t="inlineStr">
        <is>
          <t>Outras</t>
        </is>
      </c>
      <c r="D2046" s="67" t="inlineStr">
        <is>
          <t>Renata Francisco Becker</t>
        </is>
      </c>
      <c r="E2046" s="62" t="n">
        <v>44701</v>
      </c>
      <c r="F2046" s="67" t="inlineStr">
        <is>
          <t>1ª Vara Civel Criciuma</t>
        </is>
      </c>
    </row>
    <row r="2047">
      <c r="A2047" s="40" t="inlineStr">
        <is>
          <t>0304024-31.2019.8.24.0020</t>
        </is>
      </c>
      <c r="B2047" s="40" t="inlineStr">
        <is>
          <t>Outras</t>
        </is>
      </c>
      <c r="D2047" s="67" t="inlineStr">
        <is>
          <t>Renata Francisco Becker</t>
        </is>
      </c>
      <c r="E2047" s="62" t="n">
        <v>44701</v>
      </c>
      <c r="F2047" s="67" t="inlineStr">
        <is>
          <t>Juizado Especial Civel</t>
        </is>
      </c>
    </row>
    <row r="2048">
      <c r="A2048" s="40" t="inlineStr">
        <is>
          <t>0300612-68.2019.8.24.0028</t>
        </is>
      </c>
      <c r="B2048" s="40" t="inlineStr">
        <is>
          <t>Outras</t>
        </is>
      </c>
      <c r="D2048" s="67" t="inlineStr">
        <is>
          <t>Renata Francisco Becker</t>
        </is>
      </c>
      <c r="E2048" s="62" t="n">
        <v>44701</v>
      </c>
      <c r="F2048" s="67" t="inlineStr">
        <is>
          <t>1ª Vara</t>
        </is>
      </c>
    </row>
    <row r="2049">
      <c r="A2049" s="40" t="inlineStr">
        <is>
          <t>0307615-06.2016.8.24.0020</t>
        </is>
      </c>
      <c r="B2049" s="40" t="inlineStr">
        <is>
          <t>Outras</t>
        </is>
      </c>
      <c r="D2049" s="67" t="inlineStr">
        <is>
          <t>Renata Francisco Becker</t>
        </is>
      </c>
      <c r="E2049" s="62" t="n">
        <v>44701</v>
      </c>
      <c r="F2049" s="67" t="inlineStr">
        <is>
          <t>2ª Vara Da Fazenda Criciuma</t>
        </is>
      </c>
    </row>
    <row r="2050">
      <c r="A2050" s="40" t="inlineStr">
        <is>
          <t>5005174-37.2021.4.04.7204</t>
        </is>
      </c>
      <c r="B2050" s="40" t="inlineStr">
        <is>
          <t>Outras</t>
        </is>
      </c>
      <c r="D2050" s="67" t="inlineStr">
        <is>
          <t>Renata Francisco Becker</t>
        </is>
      </c>
      <c r="E2050" s="62" t="n">
        <v>44701</v>
      </c>
      <c r="F2050" s="67" t="inlineStr">
        <is>
          <t>Juizo Substituto Da 4ª Vf De Criciuma</t>
        </is>
      </c>
    </row>
    <row r="2051">
      <c r="A2051" s="40" t="inlineStr">
        <is>
          <t>0312414-92.2016.8.24.0020</t>
        </is>
      </c>
      <c r="B2051" s="40" t="inlineStr">
        <is>
          <t>Outras</t>
        </is>
      </c>
      <c r="D2051" s="67" t="inlineStr">
        <is>
          <t>Renata Francisco Becker</t>
        </is>
      </c>
      <c r="E2051" s="62" t="n">
        <v>44701</v>
      </c>
      <c r="F2051" s="67" t="inlineStr">
        <is>
          <t>2ª Vara Civel Criciuma</t>
        </is>
      </c>
    </row>
    <row r="2052">
      <c r="A2052" s="40" t="inlineStr">
        <is>
          <t>0303018-57.2017.8.24.0020</t>
        </is>
      </c>
      <c r="B2052" s="40" t="inlineStr">
        <is>
          <t>Outras</t>
        </is>
      </c>
      <c r="D2052" s="67" t="inlineStr">
        <is>
          <t>Renata Francisco Becker</t>
        </is>
      </c>
      <c r="E2052" s="62" t="n">
        <v>44701</v>
      </c>
      <c r="F2052" s="67" t="inlineStr">
        <is>
          <t>1ª Vara Da Fazenda</t>
        </is>
      </c>
    </row>
    <row r="2053">
      <c r="A2053" s="40" t="inlineStr">
        <is>
          <t>0300723-86.2018.8.24.0028</t>
        </is>
      </c>
      <c r="B2053" s="40" t="inlineStr">
        <is>
          <t>Outras</t>
        </is>
      </c>
      <c r="D2053" s="67" t="inlineStr">
        <is>
          <t>Renata Francisco Becker</t>
        </is>
      </c>
      <c r="E2053" s="62" t="n">
        <v>44701</v>
      </c>
      <c r="F2053" s="67" t="inlineStr">
        <is>
          <t>1ª Vara</t>
        </is>
      </c>
    </row>
    <row r="2054">
      <c r="A2054" s="40" t="inlineStr">
        <is>
          <t>0306804-75.2018.8.24.0020</t>
        </is>
      </c>
      <c r="B2054" s="40" t="inlineStr">
        <is>
          <t>Outras</t>
        </is>
      </c>
      <c r="D2054" s="67" t="inlineStr">
        <is>
          <t>Renata Francisco Becker</t>
        </is>
      </c>
      <c r="E2054" s="62" t="n">
        <v>44701</v>
      </c>
      <c r="F2054" s="67" t="inlineStr">
        <is>
          <t>4ª Vara Civel</t>
        </is>
      </c>
    </row>
    <row r="2055">
      <c r="A2055" s="40" t="inlineStr">
        <is>
          <t>0301995-52.2017.8.24.0028</t>
        </is>
      </c>
      <c r="B2055" s="40" t="inlineStr">
        <is>
          <t>Outras</t>
        </is>
      </c>
      <c r="D2055" s="67" t="inlineStr">
        <is>
          <t>Renata Francisco Becker</t>
        </is>
      </c>
      <c r="E2055" s="62" t="n">
        <v>44701</v>
      </c>
      <c r="F2055" s="67" t="inlineStr">
        <is>
          <t>1ª Vara</t>
        </is>
      </c>
    </row>
    <row r="2056">
      <c r="A2056" s="40" t="inlineStr">
        <is>
          <t>0304690-37.2016.8.24.0020</t>
        </is>
      </c>
      <c r="B2056" s="40" t="inlineStr">
        <is>
          <t>Outras</t>
        </is>
      </c>
      <c r="D2056" s="67" t="inlineStr">
        <is>
          <t>Renata Francisco Becker</t>
        </is>
      </c>
      <c r="E2056" s="62" t="n">
        <v>44701</v>
      </c>
      <c r="F2056" s="67" t="inlineStr">
        <is>
          <t>Juizado Especial Civel Criciuma</t>
        </is>
      </c>
    </row>
    <row r="2057">
      <c r="A2057" s="40" t="inlineStr">
        <is>
          <t>0309652-06.2016.8.24.0020</t>
        </is>
      </c>
      <c r="B2057" s="40" t="inlineStr">
        <is>
          <t>Outras</t>
        </is>
      </c>
      <c r="D2057" s="67" t="inlineStr">
        <is>
          <t>Renata Francisco Becker</t>
        </is>
      </c>
      <c r="E2057" s="62" t="n">
        <v>44701</v>
      </c>
      <c r="F2057" s="67" t="inlineStr">
        <is>
          <t>4ª Vara Civel</t>
        </is>
      </c>
    </row>
    <row r="2058">
      <c r="A2058" s="40" t="inlineStr">
        <is>
          <t>0308473-37.2016.8.24.0020</t>
        </is>
      </c>
      <c r="B2058" s="40" t="inlineStr">
        <is>
          <t>Outras</t>
        </is>
      </c>
      <c r="D2058" s="67" t="inlineStr">
        <is>
          <t>Renata Francisco Becker</t>
        </is>
      </c>
      <c r="E2058" s="62" t="n">
        <v>44701</v>
      </c>
      <c r="F2058" s="67" t="inlineStr">
        <is>
          <t>2ª Vara Da Fazenda Criciuma</t>
        </is>
      </c>
    </row>
    <row r="2059">
      <c r="A2059" s="40" t="inlineStr">
        <is>
          <t>0300345-33.2018.8.24.0028</t>
        </is>
      </c>
      <c r="B2059" s="40" t="inlineStr">
        <is>
          <t>Outras</t>
        </is>
      </c>
      <c r="D2059" s="67" t="inlineStr">
        <is>
          <t>Renata Francisco Becker</t>
        </is>
      </c>
      <c r="E2059" s="62" t="n">
        <v>44701</v>
      </c>
      <c r="F2059" s="67" t="inlineStr">
        <is>
          <t>1ª Vara</t>
        </is>
      </c>
    </row>
    <row r="2060">
      <c r="A2060" s="40" t="inlineStr">
        <is>
          <t>0300320-51.2017.8.24.0029</t>
        </is>
      </c>
      <c r="B2060" s="40" t="inlineStr">
        <is>
          <t>Outras</t>
        </is>
      </c>
      <c r="D2060" s="67" t="inlineStr">
        <is>
          <t>Renata Francisco Becker</t>
        </is>
      </c>
      <c r="E2060" s="62" t="n">
        <v>44701</v>
      </c>
      <c r="F2060" s="67" t="inlineStr">
        <is>
          <t>Vara Unica</t>
        </is>
      </c>
    </row>
    <row r="2061">
      <c r="A2061" s="40" t="inlineStr">
        <is>
          <t>0301417-55.2018.8.24.0028</t>
        </is>
      </c>
      <c r="B2061" s="40" t="inlineStr">
        <is>
          <t>Outras</t>
        </is>
      </c>
      <c r="D2061" s="67" t="inlineStr">
        <is>
          <t>Renata Francisco Becker</t>
        </is>
      </c>
      <c r="E2061" s="62" t="n">
        <v>44701</v>
      </c>
      <c r="F2061" s="67" t="inlineStr">
        <is>
          <t>1ª Vara</t>
        </is>
      </c>
    </row>
    <row r="2062">
      <c r="A2062" s="40" t="inlineStr">
        <is>
          <t>5003548-20.2020.8.24.0028</t>
        </is>
      </c>
      <c r="B2062" s="40" t="inlineStr">
        <is>
          <t>Outras</t>
        </is>
      </c>
      <c r="D2062" s="67" t="inlineStr">
        <is>
          <t>Renata Francisco Becker</t>
        </is>
      </c>
      <c r="E2062" s="62" t="n">
        <v>44701</v>
      </c>
      <c r="F2062" s="67" t="inlineStr">
        <is>
          <t>Juizo Da 1ª Vara Da Comarca De Icara</t>
        </is>
      </c>
    </row>
  </sheetData>
  <autoFilter ref="I3:N3"/>
  <mergeCells count="4">
    <mergeCell ref="A1:G1"/>
    <mergeCell ref="A2:G2"/>
    <mergeCell ref="I1:O1"/>
    <mergeCell ref="I2:O2"/>
  </mergeCells>
  <dataValidations count="1">
    <dataValidation sqref="M4:M1602" showDropDown="0" showInputMessage="0" showErrorMessage="0" allowBlank="1" type="list">
      <formula1>"Cumprido,Pendente,Não cumprido"</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63"/>
  <sheetViews>
    <sheetView showGridLines="0" zoomScaleNormal="100" workbookViewId="0">
      <selection activeCell="B63" sqref="B63:Q63"/>
    </sheetView>
  </sheetViews>
  <sheetFormatPr baseColWidth="8" defaultColWidth="8.7109375" defaultRowHeight="15"/>
  <cols>
    <col width="3" customWidth="1" min="1" max="1"/>
    <col width="28" customWidth="1" min="2" max="2"/>
    <col width="18" customWidth="1" min="3" max="3"/>
    <col width="12" customWidth="1" min="4" max="5"/>
    <col width="3.85546875" bestFit="1" customWidth="1" min="6" max="6"/>
    <col width="28" customWidth="1" min="7" max="7"/>
    <col width="18" customWidth="1" min="8" max="8"/>
    <col width="12" customWidth="1" min="9" max="9"/>
    <col width="24.7109375" customWidth="1" min="10" max="10"/>
    <col width="4" customWidth="1" min="11" max="11"/>
    <col width="6" customWidth="1" min="12" max="12"/>
    <col width="22" customWidth="1" min="13" max="13"/>
    <col width="18" customWidth="1" min="14" max="14"/>
    <col width="12" customWidth="1" min="15" max="15"/>
    <col width="5" customWidth="1" min="16" max="16"/>
  </cols>
  <sheetData>
    <row r="1" ht="49.5" customHeight="1">
      <c r="A1" s="14" t="inlineStr">
        <is>
          <t>VOLUMETRIA DE PROCESSOS</t>
        </is>
      </c>
    </row>
    <row r="2" ht="19.5" customHeight="1">
      <c r="A2" s="3" t="inlineStr">
        <is>
          <t>Atualização automática a partir da BASE DE DADOS  |  Não edite esta aba</t>
        </is>
      </c>
    </row>
    <row r="3" ht="9.75" customHeight="1"/>
    <row r="4" ht="31.5" customHeight="1">
      <c r="B4" s="60" t="inlineStr">
        <is>
          <t>PROCESSOS POR ÁREA / MATÉRIA</t>
        </is>
      </c>
      <c r="C4" s="80" t="n"/>
      <c r="D4" s="80" t="n"/>
      <c r="E4" s="57" t="n"/>
      <c r="G4" s="60" t="inlineStr">
        <is>
          <t>PROCESSOS POR FASE PROCESSUAL</t>
        </is>
      </c>
      <c r="H4" s="80" t="n"/>
      <c r="I4" s="80" t="n"/>
      <c r="J4" s="57" t="n"/>
    </row>
    <row r="5" ht="27.75" customHeight="1">
      <c r="B5" s="17" t="inlineStr">
        <is>
          <t>Área / Matéria</t>
        </is>
      </c>
      <c r="C5" s="17" t="inlineStr">
        <is>
          <t>Qtd. Processos</t>
        </is>
      </c>
      <c r="D5" s="53" t="inlineStr">
        <is>
          <t>% do Total</t>
        </is>
      </c>
      <c r="E5" s="58" t="n"/>
      <c r="G5" s="17" t="inlineStr">
        <is>
          <t>Fase Processual</t>
        </is>
      </c>
      <c r="H5" s="17" t="inlineStr">
        <is>
          <t>Qtd. Processos</t>
        </is>
      </c>
      <c r="I5" s="53" t="inlineStr">
        <is>
          <t>% do Total</t>
        </is>
      </c>
      <c r="J5" s="58" t="n"/>
    </row>
    <row r="6">
      <c r="B6" s="18" t="inlineStr">
        <is>
          <t>Cível</t>
        </is>
      </c>
      <c r="C6" s="45">
        <f>COUNTIF('BASE DE DADOS'!$B$4:$B$3000,B6)</f>
        <v/>
      </c>
      <c r="D6" s="54">
        <f>IF(C6=0,"-",TEXT(C6/C14,"0.0%"))</f>
        <v/>
      </c>
      <c r="E6" s="51" t="n"/>
      <c r="G6" s="18" t="inlineStr">
        <is>
          <t>Conhecimento</t>
        </is>
      </c>
      <c r="H6" s="45">
        <f>COUNTIF('BASE DE DADOS'!$C$4:$C$3000,G6)</f>
        <v/>
      </c>
      <c r="I6" s="54">
        <f>IF(H6=0,"-",TEXT(H6/H13,"0.0%"))</f>
        <v/>
      </c>
      <c r="J6" s="51" t="n"/>
    </row>
    <row r="7">
      <c r="B7" s="22" t="inlineStr">
        <is>
          <t>Trabalhista</t>
        </is>
      </c>
      <c r="C7" s="45">
        <f>COUNTIF('BASE DE DADOS'!$B$4:$B$3000,B7)</f>
        <v/>
      </c>
      <c r="D7" s="55">
        <f>IF(C7=0,"-",TEXT(C7/C14,"0.0%"))</f>
        <v/>
      </c>
      <c r="E7" s="51" t="n"/>
      <c r="G7" s="22" t="inlineStr">
        <is>
          <t>Recurso</t>
        </is>
      </c>
      <c r="H7" s="45">
        <f>COUNTIF('BASE DE DADOS'!$C$4:$C$3000,G7)</f>
        <v/>
      </c>
      <c r="I7" s="55">
        <f>IF(H7=0,"-",TEXT(H7/H13,"0.0%"))</f>
        <v/>
      </c>
      <c r="J7" s="51" t="n"/>
    </row>
    <row r="8">
      <c r="B8" s="18" t="inlineStr">
        <is>
          <t>Tributário</t>
        </is>
      </c>
      <c r="C8" s="45">
        <f>COUNTIF('BASE DE DADOS'!$B$4:$B$3000,B8)</f>
        <v/>
      </c>
      <c r="D8" s="54">
        <f>IF(C8=0,"-",TEXT(C8/C14,"0.0%"))</f>
        <v/>
      </c>
      <c r="E8" s="51" t="n"/>
      <c r="G8" s="18" t="inlineStr">
        <is>
          <t>Execução</t>
        </is>
      </c>
      <c r="H8" s="45">
        <f>COUNTIF('BASE DE DADOS'!$C$4:$C$3000,G8)</f>
        <v/>
      </c>
      <c r="I8" s="54">
        <f>IF(H8=0,"-",TEXT(H8/H13,"0.0%"))</f>
        <v/>
      </c>
      <c r="J8" s="51" t="n"/>
    </row>
    <row r="9">
      <c r="B9" s="22" t="inlineStr">
        <is>
          <t>Previdenciário</t>
        </is>
      </c>
      <c r="C9" s="45">
        <f>COUNTIF('BASE DE DADOS'!$B$4:$B$3000,B9)</f>
        <v/>
      </c>
      <c r="D9" s="55">
        <f>IF(C9=0,"-",TEXT(C9/C14,"0.0%"))</f>
        <v/>
      </c>
      <c r="E9" s="51" t="n"/>
      <c r="G9" s="22" t="inlineStr">
        <is>
          <t>Cumprimento de Sentença</t>
        </is>
      </c>
      <c r="H9" s="45">
        <f>COUNTIF('BASE DE DADOS'!$C$4:$C$3000,G9)</f>
        <v/>
      </c>
      <c r="I9" s="55">
        <f>IF(H9=0,"-",TEXT(H9/H13,"0.0%"))</f>
        <v/>
      </c>
      <c r="J9" s="51" t="n"/>
    </row>
    <row r="10">
      <c r="B10" s="18" t="inlineStr">
        <is>
          <t>Criminal</t>
        </is>
      </c>
      <c r="C10" s="45">
        <f>COUNTIF('BASE DE DADOS'!$B$4:$B$3000,B10)</f>
        <v/>
      </c>
      <c r="D10" s="54">
        <f>IF(C10=0,"-",TEXT(C10/C14,"0.0%"))</f>
        <v/>
      </c>
      <c r="E10" s="51" t="n"/>
      <c r="G10" s="18" t="inlineStr">
        <is>
          <t>Transitado em Julgado</t>
        </is>
      </c>
      <c r="H10" s="45">
        <f>COUNTIF('BASE DE DADOS'!$C$4:$C$3000,G10)</f>
        <v/>
      </c>
      <c r="I10" s="54">
        <f>IF(H10=0,"-",TEXT(H10/H13,"0.0%"))</f>
        <v/>
      </c>
      <c r="J10" s="51" t="n"/>
    </row>
    <row r="11">
      <c r="B11" s="22" t="inlineStr">
        <is>
          <t>Família</t>
        </is>
      </c>
      <c r="C11" s="45">
        <f>COUNTIF('BASE DE DADOS'!$B$4:$B$3000,B11)</f>
        <v/>
      </c>
      <c r="D11" s="55">
        <f>IF(C11=0,"-",TEXT(C11/C14,"0.0%"))</f>
        <v/>
      </c>
      <c r="E11" s="51" t="n"/>
      <c r="G11" s="22" t="inlineStr">
        <is>
          <t>Suspenso</t>
        </is>
      </c>
      <c r="H11" s="45">
        <f>COUNTIF('BASE DE DADOS'!$C$4:$C$3000,G11)</f>
        <v/>
      </c>
      <c r="I11" s="55">
        <f>IF(H11=0,"-",TEXT(H11/H13,"0.0%"))</f>
        <v/>
      </c>
      <c r="J11" s="51" t="n"/>
    </row>
    <row r="12">
      <c r="B12" s="18" t="inlineStr">
        <is>
          <t>Empresarial</t>
        </is>
      </c>
      <c r="C12" s="45">
        <f>COUNTIF('BASE DE DADOS'!$B$4:$B$3000,B12)</f>
        <v/>
      </c>
      <c r="D12" s="54">
        <f>IF(C12=0,"-",TEXT(C12/C14,"0.0%"))</f>
        <v/>
      </c>
      <c r="E12" s="51" t="n"/>
      <c r="G12" s="18" t="inlineStr">
        <is>
          <t>Arquivado</t>
        </is>
      </c>
      <c r="H12" s="45">
        <f>COUNTIF('BASE DE DADOS'!$C$4:$C$3000,G12)</f>
        <v/>
      </c>
      <c r="I12" s="54">
        <f>IF(H12=0,"-",TEXT(H12/H13,"0.0%"))</f>
        <v/>
      </c>
      <c r="J12" s="51" t="n"/>
    </row>
    <row r="13" ht="24" customHeight="1">
      <c r="B13" s="22" t="inlineStr">
        <is>
          <t>Outras</t>
        </is>
      </c>
      <c r="C13" s="45">
        <f>COUNTIF('BASE DE DADOS'!$B$4:$B$3000,B13)</f>
        <v/>
      </c>
      <c r="D13" s="55">
        <f>IF(C13=0,"-",TEXT(C13/C14,"0.0%"))</f>
        <v/>
      </c>
      <c r="E13" s="51" t="n"/>
      <c r="G13" s="38" t="inlineStr">
        <is>
          <t>TOTAL</t>
        </is>
      </c>
      <c r="H13" s="38">
        <f>SUM(H6:H12)</f>
        <v/>
      </c>
      <c r="I13" s="56" t="n"/>
      <c r="J13" s="59" t="n"/>
    </row>
    <row r="14" ht="24" customHeight="1">
      <c r="B14" s="38" t="inlineStr">
        <is>
          <t>TOTAL</t>
        </is>
      </c>
      <c r="C14" s="38">
        <f>SUM(C6:C13)</f>
        <v/>
      </c>
      <c r="D14" s="56" t="n"/>
      <c r="E14" s="59" t="n"/>
    </row>
    <row r="15">
      <c r="E15" s="61" t="n"/>
    </row>
    <row r="16" ht="31.5" customHeight="1">
      <c r="B16" s="60" t="inlineStr">
        <is>
          <t>PROCESSOS POR RESPONSÁVEL (ADVOGADO)</t>
        </is>
      </c>
      <c r="C16" s="80" t="n"/>
      <c r="D16" s="80" t="n"/>
      <c r="E16" s="57" t="n"/>
    </row>
    <row r="17" ht="27.75" customHeight="1">
      <c r="B17" s="17" t="inlineStr">
        <is>
          <t>Responsável</t>
        </is>
      </c>
      <c r="C17" s="17" t="inlineStr">
        <is>
          <t>Qtd. Processos</t>
        </is>
      </c>
      <c r="D17" s="53" t="inlineStr">
        <is>
          <t>% do Total</t>
        </is>
      </c>
      <c r="E17" s="58" t="n"/>
    </row>
    <row r="18">
      <c r="B18" s="18" t="inlineStr">
        <is>
          <t>Jessica</t>
        </is>
      </c>
      <c r="C18" s="45">
        <f>IF(B18="","",COUNTIF('BASE DE DADOS'!$D$4:$D$3000,B18))</f>
        <v/>
      </c>
      <c r="D18" s="54">
        <f>IF(OR(B18="",C18=0),"-",TEXT(C18/C14,"0.0%"))</f>
        <v/>
      </c>
      <c r="E18" s="51" t="n"/>
    </row>
    <row r="19">
      <c r="B19" s="22" t="inlineStr">
        <is>
          <t>Julia</t>
        </is>
      </c>
      <c r="C19" s="45">
        <f>IF(B19="","",COUNTIF('BASE DE DADOS'!$D$4:$D$3000,B19))</f>
        <v/>
      </c>
      <c r="D19" s="55">
        <f>IF(OR(B19="",C19=0),"-",TEXT(C19/C14,"0.0%"))</f>
        <v/>
      </c>
      <c r="E19" s="51" t="n"/>
    </row>
    <row r="20">
      <c r="B20" s="18" t="inlineStr">
        <is>
          <t xml:space="preserve">Lucas </t>
        </is>
      </c>
      <c r="C20" s="45">
        <f>IF(B20="","",COUNTIF('BASE DE DADOS'!$D$4:$D$3000,B20))</f>
        <v/>
      </c>
      <c r="D20" s="54">
        <f>IF(OR(B20="",C20=0),"-",TEXT(C20/C14,"0.0%"))</f>
        <v/>
      </c>
      <c r="E20" s="51" t="n"/>
    </row>
    <row r="21">
      <c r="B21" s="22" t="inlineStr">
        <is>
          <t>Luci</t>
        </is>
      </c>
      <c r="C21" s="45">
        <f>IF(B21="","",COUNTIF('BASE DE DADOS'!$D$4:$D$3000,B21))</f>
        <v/>
      </c>
      <c r="D21" s="55">
        <f>IF(OR(B21="",C21=0),"-",TEXT(C21/C14,"0.0%"))</f>
        <v/>
      </c>
      <c r="E21" s="51" t="n"/>
    </row>
    <row r="22">
      <c r="B22" s="18" t="inlineStr">
        <is>
          <t>Marelize Controladoria</t>
        </is>
      </c>
      <c r="C22" s="45">
        <f>IF(B22="","",COUNTIF('BASE DE DADOS'!$D$4:$D$3000,B22))</f>
        <v/>
      </c>
      <c r="D22" s="54">
        <f>IF(OR(B22="",C22=0),"-",TEXT(C22/C14,"0.0%"))</f>
        <v/>
      </c>
      <c r="E22" s="51" t="n"/>
    </row>
    <row r="23">
      <c r="B23" s="22" t="inlineStr">
        <is>
          <t>Pedro Victor</t>
        </is>
      </c>
      <c r="C23" s="45">
        <f>IF(B23="","",COUNTIF('BASE DE DADOS'!$D$4:$D$3000,B23))</f>
        <v/>
      </c>
      <c r="D23" s="55">
        <f>IF(OR(B23="",C23=0),"-",TEXT(C23/C14,"0.0%"))</f>
        <v/>
      </c>
      <c r="E23" s="51" t="n"/>
    </row>
    <row r="24">
      <c r="B24" s="18" t="inlineStr">
        <is>
          <t>Renata Francisco Becker</t>
        </is>
      </c>
      <c r="C24" s="45">
        <f>IF(B24="","",COUNTIF('BASE DE DADOS'!$D$4:$D$3000,B24))</f>
        <v/>
      </c>
      <c r="D24" s="54">
        <f>IF(OR(B24="",C24=0),"-",TEXT(C24/C14,"0.0%"))</f>
        <v/>
      </c>
      <c r="E24" s="51" t="n"/>
    </row>
    <row r="25" ht="9.75" customHeight="1">
      <c r="B25" s="48" t="n"/>
      <c r="C25" s="49" t="n"/>
      <c r="D25" s="50" t="n"/>
      <c r="E25" s="51" t="n"/>
    </row>
    <row r="26" ht="10.5" customHeight="1"/>
    <row r="27" ht="31.5" customHeight="1">
      <c r="B27" s="2" t="inlineStr">
        <is>
          <t>CURVA DE AJUIZAMENTO — PROCESSOS POR MÊS/ANO</t>
        </is>
      </c>
    </row>
    <row r="28" ht="27.75" customHeight="1">
      <c r="B28" s="17" t="inlineStr">
        <is>
          <t>Mês/Ano</t>
        </is>
      </c>
      <c r="C28" s="17" t="inlineStr">
        <is>
          <t>Jan</t>
        </is>
      </c>
      <c r="D28" s="17" t="inlineStr">
        <is>
          <t>Fev</t>
        </is>
      </c>
      <c r="E28" s="17" t="inlineStr">
        <is>
          <t>Mar</t>
        </is>
      </c>
      <c r="F28" s="17" t="inlineStr">
        <is>
          <t>Abr</t>
        </is>
      </c>
      <c r="G28" s="17" t="inlineStr">
        <is>
          <t>Mai</t>
        </is>
      </c>
      <c r="H28" s="17" t="inlineStr">
        <is>
          <t>Jun</t>
        </is>
      </c>
      <c r="I28" s="17" t="inlineStr">
        <is>
          <t>Jul</t>
        </is>
      </c>
      <c r="J28" s="17" t="inlineStr">
        <is>
          <t>Ago</t>
        </is>
      </c>
      <c r="K28" s="17" t="inlineStr">
        <is>
          <t>Set</t>
        </is>
      </c>
      <c r="L28" s="17" t="inlineStr">
        <is>
          <t>Out</t>
        </is>
      </c>
      <c r="M28" s="17" t="inlineStr">
        <is>
          <t>Nov</t>
        </is>
      </c>
      <c r="N28" s="17" t="inlineStr">
        <is>
          <t>Dez</t>
        </is>
      </c>
      <c r="O28" s="47" t="inlineStr">
        <is>
          <t>Total Ano</t>
        </is>
      </c>
    </row>
    <row r="29" ht="27.75" customHeight="1">
      <c r="B29" s="45" t="n">
        <v>2022</v>
      </c>
      <c r="C29" s="45">
        <f>COUNTIFS('BASE DE DADOS'!$E$4:$E$3000,"&gt;="&amp;DATE($B29,MONTH(1&amp;C$28),1),'BASE DE DADOS'!$E$4:$E$3000,"&lt;="&amp;EOMONTH(DATE($B29,MONTH(1&amp;C$28),1),0))</f>
        <v/>
      </c>
      <c r="D29" s="45">
        <f>COUNTIFS('BASE DE DADOS'!$E$4:$E$3000,"&gt;="&amp;DATE($B29,MONTH(1&amp;D$28),1),'BASE DE DADOS'!$E$4:$E$3000,"&lt;="&amp;EOMONTH(DATE($B29,MONTH(1&amp;D$28),1),0))</f>
        <v/>
      </c>
      <c r="E29" s="45">
        <f>COUNTIFS('BASE DE DADOS'!$E$4:$E$3000,"&gt;="&amp;DATE($B29,MONTH(1&amp;E$28),1),'BASE DE DADOS'!$E$4:$E$3000,"&lt;="&amp;EOMONTH(DATE($B29,MONTH(1&amp;E$28),1),0))</f>
        <v/>
      </c>
      <c r="F29" s="45">
        <f>COUNTIFS('BASE DE DADOS'!$E$4:$E$3000,"&gt;="&amp;DATE($B29,MONTH(1&amp;F$28),1),'BASE DE DADOS'!$E$4:$E$3000,"&lt;="&amp;EOMONTH(DATE($B29,MONTH(1&amp;F$28),1),0))</f>
        <v/>
      </c>
      <c r="G29" s="45">
        <f>COUNTIFS('BASE DE DADOS'!$E$4:$E$3000,"&gt;="&amp;DATE($B29,MONTH(1&amp;G$28),1),'BASE DE DADOS'!$E$4:$E$3000,"&lt;="&amp;EOMONTH(DATE($B29,MONTH(1&amp;G$28),1),0))</f>
        <v/>
      </c>
      <c r="H29" s="45">
        <f>COUNTIFS('BASE DE DADOS'!$E$4:$E$3000,"&gt;="&amp;DATE($B29,MONTH(1&amp;H$28),1),'BASE DE DADOS'!$E$4:$E$3000,"&lt;="&amp;EOMONTH(DATE($B29,MONTH(1&amp;H$28),1),0))</f>
        <v/>
      </c>
      <c r="I29" s="45">
        <f>COUNTIFS('BASE DE DADOS'!$E$4:$E$3000,"&gt;="&amp;DATE($B29,MONTH(1&amp;I$28),1),'BASE DE DADOS'!$E$4:$E$3000,"&lt;="&amp;EOMONTH(DATE($B29,MONTH(1&amp;I$28),1),0))</f>
        <v/>
      </c>
      <c r="J29" s="45">
        <f>COUNTIFS('BASE DE DADOS'!$E$4:$E$3000,"&gt;="&amp;DATE($B29,MONTH(1&amp;J$28),1),'BASE DE DADOS'!$E$4:$E$3000,"&lt;="&amp;EOMONTH(DATE($B29,MONTH(1&amp;J$28),1),0))</f>
        <v/>
      </c>
      <c r="K29" s="45">
        <f>COUNTIFS('BASE DE DADOS'!$E$4:$E$3000,"&gt;="&amp;DATE($B29,MONTH(1&amp;K$28),1),'BASE DE DADOS'!$E$4:$E$3000,"&lt;="&amp;EOMONTH(DATE($B29,MONTH(1&amp;K$28),1),0))</f>
        <v/>
      </c>
      <c r="L29" s="45">
        <f>COUNTIFS('BASE DE DADOS'!$E$4:$E$3000,"&gt;="&amp;DATE($B29,MONTH(1&amp;L$28),1),'BASE DE DADOS'!$E$4:$E$3000,"&lt;="&amp;EOMONTH(DATE($B29,MONTH(1&amp;L$28),1),0))</f>
        <v/>
      </c>
      <c r="M29" s="45">
        <f>COUNTIFS('BASE DE DADOS'!$E$4:$E$3000,"&gt;="&amp;DATE($B29,MONTH(1&amp;M$28),1),'BASE DE DADOS'!$E$4:$E$3000,"&lt;="&amp;EOMONTH(DATE($B29,MONTH(1&amp;M$28),1),0))</f>
        <v/>
      </c>
      <c r="N29" s="45">
        <f>COUNTIFS('BASE DE DADOS'!$E$4:$E$3000,"&gt;="&amp;DATE($B29,MONTH(1&amp;N$28),1),'BASE DE DADOS'!$E$4:$E$3000,"&lt;="&amp;EOMONTH(DATE($B29,MONTH(1&amp;N$28),1),0))</f>
        <v/>
      </c>
      <c r="O29" s="45">
        <f>SUM(C29:N29)</f>
        <v/>
      </c>
    </row>
    <row r="30" ht="19.5" customHeight="1">
      <c r="B30" s="45" t="n">
        <v>2023</v>
      </c>
      <c r="C30" s="45">
        <f>COUNTIFS('BASE DE DADOS'!$E$4:$E$3000,"&gt;="&amp;DATE($B30,MONTH(1&amp;C$28),1),'BASE DE DADOS'!$E$4:$E$3000,"&lt;="&amp;EOMONTH(DATE($B30,MONTH(1&amp;C$28),1),0))</f>
        <v/>
      </c>
      <c r="D30" s="45">
        <f>COUNTIFS('BASE DE DADOS'!$E$4:$E$3000,"&gt;="&amp;DATE($B30,MONTH(1&amp;D$28),1),'BASE DE DADOS'!$E$4:$E$3000,"&lt;="&amp;EOMONTH(DATE($B30,MONTH(1&amp;D$28),1),0))</f>
        <v/>
      </c>
      <c r="E30" s="45">
        <f>COUNTIFS('BASE DE DADOS'!$E$4:$E$3000,"&gt;="&amp;DATE($B30,MONTH(1&amp;E$28),1),'BASE DE DADOS'!$E$4:$E$3000,"&lt;="&amp;EOMONTH(DATE($B30,MONTH(1&amp;E$28),1),0))</f>
        <v/>
      </c>
      <c r="F30" s="45">
        <f>COUNTIFS('BASE DE DADOS'!$E$4:$E$3000,"&gt;="&amp;DATE($B30,MONTH(1&amp;F$28),1),'BASE DE DADOS'!$E$4:$E$3000,"&lt;="&amp;EOMONTH(DATE($B30,MONTH(1&amp;F$28),1),0))</f>
        <v/>
      </c>
      <c r="G30" s="45">
        <f>COUNTIFS('BASE DE DADOS'!$E$4:$E$3000,"&gt;="&amp;DATE($B30,MONTH(1&amp;G$28),1),'BASE DE DADOS'!$E$4:$E$3000,"&lt;="&amp;EOMONTH(DATE($B30,MONTH(1&amp;G$28),1),0))</f>
        <v/>
      </c>
      <c r="H30" s="45">
        <f>COUNTIFS('BASE DE DADOS'!$E$4:$E$3000,"&gt;="&amp;DATE($B30,MONTH(1&amp;H$28),1),'BASE DE DADOS'!$E$4:$E$3000,"&lt;="&amp;EOMONTH(DATE($B30,MONTH(1&amp;H$28),1),0))</f>
        <v/>
      </c>
      <c r="I30" s="45">
        <f>COUNTIFS('BASE DE DADOS'!$E$4:$E$3000,"&gt;="&amp;DATE($B30,MONTH(1&amp;I$28),1),'BASE DE DADOS'!$E$4:$E$3000,"&lt;="&amp;EOMONTH(DATE($B30,MONTH(1&amp;I$28),1),0))</f>
        <v/>
      </c>
      <c r="J30" s="45">
        <f>COUNTIFS('BASE DE DADOS'!$E$4:$E$3000,"&gt;="&amp;DATE($B30,MONTH(1&amp;J$28),1),'BASE DE DADOS'!$E$4:$E$3000,"&lt;="&amp;EOMONTH(DATE($B30,MONTH(1&amp;J$28),1),0))</f>
        <v/>
      </c>
      <c r="K30" s="45">
        <f>COUNTIFS('BASE DE DADOS'!$E$4:$E$3000,"&gt;="&amp;DATE($B30,MONTH(1&amp;K$28),1),'BASE DE DADOS'!$E$4:$E$3000,"&lt;="&amp;EOMONTH(DATE($B30,MONTH(1&amp;K$28),1),0))</f>
        <v/>
      </c>
      <c r="L30" s="45">
        <f>COUNTIFS('BASE DE DADOS'!$E$4:$E$3000,"&gt;="&amp;DATE($B30,MONTH(1&amp;L$28),1),'BASE DE DADOS'!$E$4:$E$3000,"&lt;="&amp;EOMONTH(DATE($B30,MONTH(1&amp;L$28),1),0))</f>
        <v/>
      </c>
      <c r="M30" s="45">
        <f>COUNTIFS('BASE DE DADOS'!$E$4:$E$3000,"&gt;="&amp;DATE($B30,MONTH(1&amp;M$28),1),'BASE DE DADOS'!$E$4:$E$3000,"&lt;="&amp;EOMONTH(DATE($B30,MONTH(1&amp;M$28),1),0))</f>
        <v/>
      </c>
      <c r="N30" s="45">
        <f>COUNTIFS('BASE DE DADOS'!$E$4:$E$3000,"&gt;="&amp;DATE($B30,MONTH(1&amp;N$28),1),'BASE DE DADOS'!$E$4:$E$3000,"&lt;="&amp;EOMONTH(DATE($B30,MONTH(1&amp;N$28),1),0))</f>
        <v/>
      </c>
      <c r="O30" s="45">
        <f>SUM(C30:N30)</f>
        <v/>
      </c>
    </row>
    <row r="31" ht="19.5" customHeight="1">
      <c r="B31" s="46" t="n">
        <v>2024</v>
      </c>
      <c r="C31" s="45">
        <f>COUNTIFS('BASE DE DADOS'!$E$4:$E$3000,"&gt;="&amp;DATE($B31,MONTH(1&amp;C$28),1),'BASE DE DADOS'!$E$4:$E$3000,"&lt;="&amp;EOMONTH(DATE($B31,MONTH(1&amp;C$28),1),0))</f>
        <v/>
      </c>
      <c r="D31" s="45">
        <f>COUNTIFS('BASE DE DADOS'!$E$4:$E$3000,"&gt;="&amp;DATE($B31,MONTH(1&amp;D$28),1),'BASE DE DADOS'!$E$4:$E$3000,"&lt;="&amp;EOMONTH(DATE($B31,MONTH(1&amp;D$28),1),0))</f>
        <v/>
      </c>
      <c r="E31" s="45">
        <f>COUNTIFS('BASE DE DADOS'!$E$4:$E$3000,"&gt;="&amp;DATE($B31,MONTH(1&amp;E$28),1),'BASE DE DADOS'!$E$4:$E$3000,"&lt;="&amp;EOMONTH(DATE($B31,MONTH(1&amp;E$28),1),0))</f>
        <v/>
      </c>
      <c r="F31" s="45">
        <f>COUNTIFS('BASE DE DADOS'!$E$4:$E$3000,"&gt;="&amp;DATE($B31,MONTH(1&amp;F$28),1),'BASE DE DADOS'!$E$4:$E$3000,"&lt;="&amp;EOMONTH(DATE($B31,MONTH(1&amp;F$28),1),0))</f>
        <v/>
      </c>
      <c r="G31" s="45">
        <f>COUNTIFS('BASE DE DADOS'!$E$4:$E$3000,"&gt;="&amp;DATE($B31,MONTH(1&amp;G$28),1),'BASE DE DADOS'!$E$4:$E$3000,"&lt;="&amp;EOMONTH(DATE($B31,MONTH(1&amp;G$28),1),0))</f>
        <v/>
      </c>
      <c r="H31" s="45">
        <f>COUNTIFS('BASE DE DADOS'!$E$4:$E$3000,"&gt;="&amp;DATE($B31,MONTH(1&amp;H$28),1),'BASE DE DADOS'!$E$4:$E$3000,"&lt;="&amp;EOMONTH(DATE($B31,MONTH(1&amp;H$28),1),0))</f>
        <v/>
      </c>
      <c r="I31" s="45">
        <f>COUNTIFS('BASE DE DADOS'!$E$4:$E$3000,"&gt;="&amp;DATE($B31,MONTH(1&amp;I$28),1),'BASE DE DADOS'!$E$4:$E$3000,"&lt;="&amp;EOMONTH(DATE($B31,MONTH(1&amp;I$28),1),0))</f>
        <v/>
      </c>
      <c r="J31" s="45">
        <f>COUNTIFS('BASE DE DADOS'!$E$4:$E$3000,"&gt;="&amp;DATE($B31,MONTH(1&amp;J$28),1),'BASE DE DADOS'!$E$4:$E$3000,"&lt;="&amp;EOMONTH(DATE($B31,MONTH(1&amp;J$28),1),0))</f>
        <v/>
      </c>
      <c r="K31" s="45">
        <f>COUNTIFS('BASE DE DADOS'!$E$4:$E$3000,"&gt;="&amp;DATE($B31,MONTH(1&amp;K$28),1),'BASE DE DADOS'!$E$4:$E$3000,"&lt;="&amp;EOMONTH(DATE($B31,MONTH(1&amp;K$28),1),0))</f>
        <v/>
      </c>
      <c r="L31" s="45">
        <f>COUNTIFS('BASE DE DADOS'!$E$4:$E$3000,"&gt;="&amp;DATE($B31,MONTH(1&amp;L$28),1),'BASE DE DADOS'!$E$4:$E$3000,"&lt;="&amp;EOMONTH(DATE($B31,MONTH(1&amp;L$28),1),0))</f>
        <v/>
      </c>
      <c r="M31" s="45">
        <f>COUNTIFS('BASE DE DADOS'!$E$4:$E$3000,"&gt;="&amp;DATE($B31,MONTH(1&amp;M$28),1),'BASE DE DADOS'!$E$4:$E$3000,"&lt;="&amp;EOMONTH(DATE($B31,MONTH(1&amp;M$28),1),0))</f>
        <v/>
      </c>
      <c r="N31" s="45">
        <f>COUNTIFS('BASE DE DADOS'!$E$4:$E$3000,"&gt;="&amp;DATE($B31,MONTH(1&amp;N$28),1),'BASE DE DADOS'!$E$4:$E$3000,"&lt;="&amp;EOMONTH(DATE($B31,MONTH(1&amp;N$28),1),0))</f>
        <v/>
      </c>
      <c r="O31" s="45">
        <f>SUM(C31:N31)</f>
        <v/>
      </c>
    </row>
    <row r="32" ht="19.5" customHeight="1">
      <c r="B32" s="45" t="n">
        <v>2025</v>
      </c>
      <c r="C32" s="45">
        <f>COUNTIFS('BASE DE DADOS'!$E$4:$E$3000,"&gt;="&amp;DATE($B32,MONTH(1&amp;C$28),1),'BASE DE DADOS'!$E$4:$E$3000,"&lt;="&amp;EOMONTH(DATE($B32,MONTH(1&amp;C$28),1),0))</f>
        <v/>
      </c>
      <c r="D32" s="45">
        <f>COUNTIFS('BASE DE DADOS'!$E$4:$E$3000,"&gt;="&amp;DATE($B32,MONTH(1&amp;D$28),1),'BASE DE DADOS'!$E$4:$E$3000,"&lt;="&amp;EOMONTH(DATE($B32,MONTH(1&amp;D$28),1),0))</f>
        <v/>
      </c>
      <c r="E32" s="45">
        <f>COUNTIFS('BASE DE DADOS'!$E$4:$E$3000,"&gt;="&amp;DATE($B32,MONTH(1&amp;E$28),1),'BASE DE DADOS'!$E$4:$E$3000,"&lt;="&amp;EOMONTH(DATE($B32,MONTH(1&amp;E$28),1),0))</f>
        <v/>
      </c>
      <c r="F32" s="45">
        <f>COUNTIFS('BASE DE DADOS'!$E$4:$E$3000,"&gt;="&amp;DATE($B32,MONTH(1&amp;F$28),1),'BASE DE DADOS'!$E$4:$E$3000,"&lt;="&amp;EOMONTH(DATE($B32,MONTH(1&amp;F$28),1),0))</f>
        <v/>
      </c>
      <c r="G32" s="45">
        <f>COUNTIFS('BASE DE DADOS'!$E$4:$E$3000,"&gt;="&amp;DATE($B32,MONTH(1&amp;G$28),1),'BASE DE DADOS'!$E$4:$E$3000,"&lt;="&amp;EOMONTH(DATE($B32,MONTH(1&amp;G$28),1),0))</f>
        <v/>
      </c>
      <c r="H32" s="45">
        <f>COUNTIFS('BASE DE DADOS'!$E$4:$E$3000,"&gt;="&amp;DATE($B32,MONTH(1&amp;H$28),1),'BASE DE DADOS'!$E$4:$E$3000,"&lt;="&amp;EOMONTH(DATE($B32,MONTH(1&amp;H$28),1),0))</f>
        <v/>
      </c>
      <c r="I32" s="45">
        <f>COUNTIFS('BASE DE DADOS'!$E$4:$E$3000,"&gt;="&amp;DATE($B32,MONTH(1&amp;I$28),1),'BASE DE DADOS'!$E$4:$E$3000,"&lt;="&amp;EOMONTH(DATE($B32,MONTH(1&amp;I$28),1),0))</f>
        <v/>
      </c>
      <c r="J32" s="45">
        <f>COUNTIFS('BASE DE DADOS'!$E$4:$E$3000,"&gt;="&amp;DATE($B32,MONTH(1&amp;J$28),1),'BASE DE DADOS'!$E$4:$E$3000,"&lt;="&amp;EOMONTH(DATE($B32,MONTH(1&amp;J$28),1),0))</f>
        <v/>
      </c>
      <c r="K32" s="45">
        <f>COUNTIFS('BASE DE DADOS'!$E$4:$E$3000,"&gt;="&amp;DATE($B32,MONTH(1&amp;K$28),1),'BASE DE DADOS'!$E$4:$E$3000,"&lt;="&amp;EOMONTH(DATE($B32,MONTH(1&amp;K$28),1),0))</f>
        <v/>
      </c>
      <c r="L32" s="45">
        <f>COUNTIFS('BASE DE DADOS'!$E$4:$E$3000,"&gt;="&amp;DATE($B32,MONTH(1&amp;L$28),1),'BASE DE DADOS'!$E$4:$E$3000,"&lt;="&amp;EOMONTH(DATE($B32,MONTH(1&amp;L$28),1),0))</f>
        <v/>
      </c>
      <c r="M32" s="45">
        <f>COUNTIFS('BASE DE DADOS'!$E$4:$E$3000,"&gt;="&amp;DATE($B32,MONTH(1&amp;M$28),1),'BASE DE DADOS'!$E$4:$E$3000,"&lt;="&amp;EOMONTH(DATE($B32,MONTH(1&amp;M$28),1),0))</f>
        <v/>
      </c>
      <c r="N32" s="45">
        <f>COUNTIFS('BASE DE DADOS'!$E$4:$E$3000,"&gt;="&amp;DATE($B32,MONTH(1&amp;N$28),1),'BASE DE DADOS'!$E$4:$E$3000,"&lt;="&amp;EOMONTH(DATE($B32,MONTH(1&amp;N$28),1),0))</f>
        <v/>
      </c>
      <c r="O32" s="45">
        <f>SUM(C32:N32)</f>
        <v/>
      </c>
    </row>
    <row r="33" ht="19.5" customHeight="1">
      <c r="B33" s="45" t="n">
        <v>2026</v>
      </c>
      <c r="C33" s="45">
        <f>COUNTIFS('BASE DE DADOS'!$E$4:$E$3000,"&gt;="&amp;DATE($B33,MONTH(1&amp;C$28),1),'BASE DE DADOS'!$E$4:$E$3000,"&lt;="&amp;EOMONTH(DATE($B33,MONTH(1&amp;C$28),1),0))</f>
        <v/>
      </c>
      <c r="D33" s="45">
        <f>COUNTIFS('BASE DE DADOS'!$E$4:$E$3000,"&gt;="&amp;DATE($B33,MONTH(1&amp;D$28),1),'BASE DE DADOS'!$E$4:$E$3000,"&lt;="&amp;EOMONTH(DATE($B33,MONTH(1&amp;D$28),1),0))</f>
        <v/>
      </c>
      <c r="E33" s="45">
        <f>COUNTIFS('BASE DE DADOS'!$E$4:$E$3000,"&gt;="&amp;DATE($B33,MONTH(1&amp;E$28),1),'BASE DE DADOS'!$E$4:$E$3000,"&lt;="&amp;EOMONTH(DATE($B33,MONTH(1&amp;E$28),1),0))</f>
        <v/>
      </c>
      <c r="F33" s="45">
        <f>COUNTIFS('BASE DE DADOS'!$E$4:$E$3000,"&gt;="&amp;DATE($B33,MONTH(1&amp;F$28),1),'BASE DE DADOS'!$E$4:$E$3000,"&lt;="&amp;EOMONTH(DATE($B33,MONTH(1&amp;F$28),1),0))</f>
        <v/>
      </c>
      <c r="G33" s="45">
        <f>COUNTIFS('BASE DE DADOS'!$E$4:$E$3000,"&gt;="&amp;DATE($B33,MONTH(1&amp;G$28),1),'BASE DE DADOS'!$E$4:$E$3000,"&lt;="&amp;EOMONTH(DATE($B33,MONTH(1&amp;G$28),1),0))</f>
        <v/>
      </c>
      <c r="H33" s="45">
        <f>COUNTIFS('BASE DE DADOS'!$E$4:$E$3000,"&gt;="&amp;DATE($B33,MONTH(1&amp;H$28),1),'BASE DE DADOS'!$E$4:$E$3000,"&lt;="&amp;EOMONTH(DATE($B33,MONTH(1&amp;H$28),1),0))</f>
        <v/>
      </c>
      <c r="I33" s="45">
        <f>COUNTIFS('BASE DE DADOS'!$E$4:$E$3000,"&gt;="&amp;DATE($B33,MONTH(1&amp;I$28),1),'BASE DE DADOS'!$E$4:$E$3000,"&lt;="&amp;EOMONTH(DATE($B33,MONTH(1&amp;I$28),1),0))</f>
        <v/>
      </c>
      <c r="J33" s="45">
        <f>COUNTIFS('BASE DE DADOS'!$E$4:$E$3000,"&gt;="&amp;DATE($B33,MONTH(1&amp;J$28),1),'BASE DE DADOS'!$E$4:$E$3000,"&lt;="&amp;EOMONTH(DATE($B33,MONTH(1&amp;J$28),1),0))</f>
        <v/>
      </c>
      <c r="K33" s="45">
        <f>COUNTIFS('BASE DE DADOS'!$E$4:$E$3000,"&gt;="&amp;DATE($B33,MONTH(1&amp;K$28),1),'BASE DE DADOS'!$E$4:$E$3000,"&lt;="&amp;EOMONTH(DATE($B33,MONTH(1&amp;K$28),1),0))</f>
        <v/>
      </c>
      <c r="L33" s="45">
        <f>COUNTIFS('BASE DE DADOS'!$E$4:$E$3000,"&gt;="&amp;DATE($B33,MONTH(1&amp;L$28),1),'BASE DE DADOS'!$E$4:$E$3000,"&lt;="&amp;EOMONTH(DATE($B33,MONTH(1&amp;L$28),1),0))</f>
        <v/>
      </c>
      <c r="M33" s="45">
        <f>COUNTIFS('BASE DE DADOS'!$E$4:$E$3000,"&gt;="&amp;DATE($B33,MONTH(1&amp;M$28),1),'BASE DE DADOS'!$E$4:$E$3000,"&lt;="&amp;EOMONTH(DATE($B33,MONTH(1&amp;M$28),1),0))</f>
        <v/>
      </c>
      <c r="N33" s="45">
        <f>COUNTIFS('BASE DE DADOS'!$E$4:$E$3000,"&gt;="&amp;DATE($B33,MONTH(1&amp;N$28),1),'BASE DE DADOS'!$E$4:$E$3000,"&lt;="&amp;EOMONTH(DATE($B33,MONTH(1&amp;N$28),1),0))</f>
        <v/>
      </c>
      <c r="O33" s="45">
        <f>SUM(C33:N33)</f>
        <v/>
      </c>
    </row>
    <row r="34" ht="21.75" customHeight="1">
      <c r="B34" s="26" t="inlineStr">
        <is>
          <t>TOTAL</t>
        </is>
      </c>
      <c r="C34" s="26">
        <f>SUM(C29:C33)</f>
        <v/>
      </c>
      <c r="D34" s="26">
        <f>SUM(D29:D33)</f>
        <v/>
      </c>
      <c r="E34" s="26">
        <f>SUM(E29:E33)</f>
        <v/>
      </c>
      <c r="F34" s="26">
        <f>SUM(F29:F33)</f>
        <v/>
      </c>
      <c r="G34" s="26">
        <f>SUM(G29:G33)</f>
        <v/>
      </c>
      <c r="H34" s="26">
        <f>SUM(H29:H33)</f>
        <v/>
      </c>
      <c r="I34" s="26">
        <f>SUM(I29:I33)</f>
        <v/>
      </c>
      <c r="J34" s="26">
        <f>SUM(J29:J33)</f>
        <v/>
      </c>
      <c r="K34" s="26">
        <f>SUM(K29:K33)</f>
        <v/>
      </c>
      <c r="L34" s="26">
        <f>SUM(L29:L33)</f>
        <v/>
      </c>
      <c r="M34" s="26">
        <f>SUM(M29:M33)</f>
        <v/>
      </c>
      <c r="N34" s="26">
        <f>SUM(N29:N33)</f>
        <v/>
      </c>
      <c r="O34" s="26" t="n"/>
    </row>
    <row r="35"/>
    <row r="36"/>
    <row r="37"/>
    <row r="38"/>
    <row r="39"/>
    <row r="40"/>
    <row r="41"/>
    <row r="42"/>
    <row r="43"/>
    <row r="44"/>
    <row r="45"/>
    <row r="46"/>
    <row r="47"/>
    <row r="48"/>
    <row r="49"/>
    <row r="50"/>
    <row r="51"/>
    <row r="52"/>
    <row r="53"/>
    <row r="54"/>
    <row r="55"/>
    <row r="56"/>
    <row r="57"/>
    <row r="58"/>
    <row r="59"/>
    <row r="60"/>
    <row r="61"/>
    <row r="62"/>
    <row r="63">
      <c r="B63" s="1" t="inlineStr">
        <is>
          <t>K Controllers  |  kcontrollers.com.br  |  Controladoria Jurídica na prática.</t>
        </is>
      </c>
    </row>
  </sheetData>
  <mergeCells count="7">
    <mergeCell ref="B27:O27"/>
    <mergeCell ref="B63:Q63"/>
    <mergeCell ref="A1:P1"/>
    <mergeCell ref="B4:D4"/>
    <mergeCell ref="G4:I4"/>
    <mergeCell ref="B16:D16"/>
    <mergeCell ref="A2:P2"/>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P42"/>
  <sheetViews>
    <sheetView showGridLines="0" tabSelected="1" zoomScaleNormal="100" workbookViewId="0">
      <selection activeCell="P17" sqref="P17"/>
    </sheetView>
  </sheetViews>
  <sheetFormatPr baseColWidth="8" defaultColWidth="8.7109375" defaultRowHeight="15"/>
  <cols>
    <col width="3" customWidth="1" min="1" max="1"/>
    <col width="28" customWidth="1" min="2" max="2"/>
    <col width="16" customWidth="1" min="3" max="5"/>
    <col width="17.85546875" customWidth="1" min="6" max="6"/>
    <col width="5" customWidth="1" min="7" max="7"/>
    <col width="28" customWidth="1" min="8" max="8"/>
    <col width="16" customWidth="1" min="9" max="11"/>
    <col width="5" customWidth="1" min="12" max="12"/>
  </cols>
  <sheetData>
    <row r="1" ht="49.5" customHeight="1">
      <c r="A1" s="14" t="inlineStr">
        <is>
          <t>PRODUTIVIDADE E GESTÃO DE PRAZOS</t>
        </is>
      </c>
    </row>
    <row r="2" ht="15" customHeight="1">
      <c r="A2" s="78" t="inlineStr">
        <is>
          <t>Produtividade com dados de 01.01.2026 a 28.02.2026</t>
        </is>
      </c>
    </row>
    <row r="3" ht="19.5" customHeight="1">
      <c r="A3" s="3" t="inlineStr">
        <is>
          <t>Atualização automática a partir da BASE DE DADOS  |  Não edite esta aba</t>
        </is>
      </c>
    </row>
    <row r="4" ht="9.75" customHeight="1"/>
    <row r="5" ht="31.5" customHeight="1">
      <c r="B5" s="2" t="inlineStr">
        <is>
          <t>PAINEL GERAL DE PRAZOS</t>
        </is>
      </c>
    </row>
    <row r="6" ht="27.75" customHeight="1">
      <c r="B6" s="17" t="inlineStr">
        <is>
          <t>Indicador</t>
        </is>
      </c>
      <c r="C6" s="17" t="inlineStr">
        <is>
          <t>Qtd.</t>
        </is>
      </c>
      <c r="D6" s="17" t="inlineStr">
        <is>
          <t>% do Total</t>
        </is>
      </c>
      <c r="E6" s="17" t="n"/>
      <c r="F6" s="17" t="n"/>
    </row>
    <row r="7" ht="21.75" customHeight="1">
      <c r="B7" s="27" t="inlineStr">
        <is>
          <t>Total de Prazos Cadastrados</t>
        </is>
      </c>
      <c r="C7" s="28">
        <f>COUNTA('BASE DE DADOS'!$M$4:$M$3000)</f>
        <v/>
      </c>
      <c r="D7" s="20">
        <f>IF(C7=0,"-","100%")</f>
        <v/>
      </c>
      <c r="E7" s="21" t="n"/>
      <c r="F7" s="21" t="n"/>
    </row>
    <row r="8" ht="21.75" customHeight="1">
      <c r="B8" s="29" t="inlineStr">
        <is>
          <t>✔  Prazos Cumpridos</t>
        </is>
      </c>
      <c r="C8" s="30">
        <f>COUNTIF('BASE DE DADOS'!$M$4:$M$3000,"Cumprido")</f>
        <v/>
      </c>
      <c r="D8" s="23">
        <f>IF(C7=0,"-",TEXT(C8/C7,"0.0%"))</f>
        <v/>
      </c>
      <c r="E8" s="24" t="n"/>
      <c r="F8" s="24" t="n"/>
    </row>
    <row r="9" ht="21.75" customHeight="1">
      <c r="B9" s="31" t="inlineStr">
        <is>
          <t>⏳  Prazos Pendentes</t>
        </is>
      </c>
      <c r="C9" s="32">
        <f>COUNTIF('BASE DE DADOS'!$M$4:$M$3000,"Pendente")</f>
        <v/>
      </c>
      <c r="D9" s="20">
        <f>IF(C7=0,"-",TEXT(C9/C7,"0.0%"))</f>
        <v/>
      </c>
      <c r="E9" s="21" t="n"/>
      <c r="F9" s="21" t="n"/>
    </row>
    <row r="10" ht="21.75" customHeight="1">
      <c r="B10" s="29" t="inlineStr">
        <is>
          <t>✘  Prazos Não Cumpridos</t>
        </is>
      </c>
      <c r="C10" s="33">
        <f>COUNTIF('BASE DE DADOS'!$M$4:$M$3000,"Não cumprido")</f>
        <v/>
      </c>
      <c r="D10" s="23">
        <f>IF(C7=0,"-",TEXT(C10/C7,"0.0%"))</f>
        <v/>
      </c>
      <c r="E10" s="24" t="n"/>
      <c r="F10" s="24" t="n"/>
    </row>
    <row r="11" ht="27.75" customHeight="1">
      <c r="B11" s="38" t="inlineStr">
        <is>
          <t>TAXA DE CUMPRIMENTO DE PRAZOS</t>
        </is>
      </c>
      <c r="C11" s="81" t="n"/>
      <c r="D11" s="34">
        <f>IF(C7=0,"-",TEXT(C8/(C8+C10),"0.0%"))</f>
        <v/>
      </c>
      <c r="E11" s="35" t="inlineStr">
        <is>
          <t>← Cumpridos ÷ (Cumpridos + Não cumpridos)</t>
        </is>
      </c>
      <c r="F11" s="21" t="n"/>
    </row>
    <row r="12"/>
    <row r="13" ht="31.5" customHeight="1">
      <c r="B13" s="2" t="inlineStr">
        <is>
          <t>PRAZOS POR TIPO</t>
        </is>
      </c>
    </row>
    <row r="14" ht="27.75" customHeight="1">
      <c r="B14" s="17" t="inlineStr">
        <is>
          <t>Tipo de Prazo</t>
        </is>
      </c>
      <c r="C14" s="17" t="inlineStr">
        <is>
          <t>Total</t>
        </is>
      </c>
      <c r="D14" s="17" t="inlineStr">
        <is>
          <t>Cumpridos</t>
        </is>
      </c>
      <c r="E14" s="17" t="inlineStr">
        <is>
          <t>Não Cumpridos</t>
        </is>
      </c>
      <c r="F14" s="17" t="inlineStr">
        <is>
          <t>Taxa (%)</t>
        </is>
      </c>
    </row>
    <row r="15" ht="19.5" customHeight="1">
      <c r="B15" s="18" t="inlineStr">
        <is>
          <t>Contestação</t>
        </is>
      </c>
      <c r="C15" s="45">
        <f>COUNTIF('BASE DE DADOS'!$J$4:$J$3000,B15)</f>
        <v/>
      </c>
      <c r="D15" s="36">
        <f t="array" ref="D15">SUMPRODUCT(('BASE DE DADOS'!$J$4:$J$3000=B15)*('BASE DE DADOS'!$M$4:$M$3000="Cumprido"))</f>
        <v/>
      </c>
      <c r="E15" s="37">
        <f t="array" ref="E15">SUMPRODUCT(('BASE DE DADOS'!$J$4:$J$3000=B15)*('BASE DE DADOS'!$M$4:$M$3000="Não cumprido"))</f>
        <v/>
      </c>
      <c r="F15" s="20">
        <f>IF(C15=0,"-",TEXT(D15/C15,"0.0%"))</f>
        <v/>
      </c>
    </row>
    <row r="16" ht="19.5" customHeight="1">
      <c r="B16" s="70" t="inlineStr">
        <is>
          <t>Recurso de Apelação</t>
        </is>
      </c>
      <c r="C16" s="71">
        <f>COUNTIF('BASE DE DADOS'!$J$4:$J$3000,B16)</f>
        <v/>
      </c>
      <c r="D16" s="72">
        <f t="array" ref="D16">SUMPRODUCT(('BASE DE DADOS'!$J$4:$J$3000=B16)*('BASE DE DADOS'!$M$4:$M$3000="Cumprido"))</f>
        <v/>
      </c>
      <c r="E16" s="73">
        <f t="array" ref="E16">SUMPRODUCT(('BASE DE DADOS'!$J$4:$J$3000=B16)*('BASE DE DADOS'!$M$4:$M$3000="Não cumprido"))</f>
        <v/>
      </c>
      <c r="F16" s="74">
        <f>IF(C16=0,"-",TEXT(D16/C16,"0.0%"))</f>
        <v/>
      </c>
    </row>
    <row r="17" ht="19.5" customHeight="1">
      <c r="B17" s="18" t="inlineStr">
        <is>
          <t>Agravo</t>
        </is>
      </c>
      <c r="C17" s="45">
        <f>COUNTIF('BASE DE DADOS'!$J$4:$J$3000,B17)</f>
        <v/>
      </c>
      <c r="D17" s="36">
        <f t="array" ref="D17">SUMPRODUCT(('BASE DE DADOS'!$J$4:$J$3000=B17)*('BASE DE DADOS'!$M$4:$M$3000="Cumprido"))</f>
        <v/>
      </c>
      <c r="E17" s="37">
        <f t="array" ref="E17">SUMPRODUCT(('BASE DE DADOS'!$J$4:$J$3000=B17)*('BASE DE DADOS'!$M$4:$M$3000="Não cumprido"))</f>
        <v/>
      </c>
      <c r="F17" s="20">
        <f>IF(C17=0,"-",TEXT(D17/C17,"0.0%"))</f>
        <v/>
      </c>
    </row>
    <row r="18" ht="19.5" customHeight="1">
      <c r="B18" s="70" t="inlineStr">
        <is>
          <t>Manifestação</t>
        </is>
      </c>
      <c r="C18" s="71">
        <f>COUNTIF('BASE DE DADOS'!$J$4:$J$3000,B18)</f>
        <v/>
      </c>
      <c r="D18" s="72">
        <f t="array" ref="D18">SUMPRODUCT(('BASE DE DADOS'!$J$4:$J$3000=B18)*('BASE DE DADOS'!$M$4:$M$3000="Cumprido"))</f>
        <v/>
      </c>
      <c r="E18" s="73">
        <f t="array" ref="E18">SUMPRODUCT(('BASE DE DADOS'!$J$4:$J$3000=B18)*('BASE DE DADOS'!$M$4:$M$3000="Não cumprido"))</f>
        <v/>
      </c>
      <c r="F18" s="74">
        <f>IF(C18=0,"-",TEXT(D18/C18,"0.0%"))</f>
        <v/>
      </c>
    </row>
    <row r="19" ht="19.5" customHeight="1">
      <c r="B19" s="18" t="inlineStr">
        <is>
          <t>Contrarrazões</t>
        </is>
      </c>
      <c r="C19" s="45">
        <f>COUNTIF('BASE DE DADOS'!$J$4:$J$3000,B19)</f>
        <v/>
      </c>
      <c r="D19" s="36">
        <f t="array" ref="D19">SUMPRODUCT(('BASE DE DADOS'!$J$4:$J$3000=B19)*('BASE DE DADOS'!$M$4:$M$3000="Cumprido"))</f>
        <v/>
      </c>
      <c r="E19" s="37">
        <f t="array" ref="E19">SUMPRODUCT(('BASE DE DADOS'!$J$4:$J$3000=B19)*('BASE DE DADOS'!$M$4:$M$3000="Não cumprido"))</f>
        <v/>
      </c>
      <c r="F19" s="20">
        <f>IF(C19=0,"-",TEXT(D19/C19,"0.0%"))</f>
        <v/>
      </c>
    </row>
    <row r="20" ht="19.5" customHeight="1">
      <c r="B20" s="70" t="inlineStr">
        <is>
          <t>Audiência</t>
        </is>
      </c>
      <c r="C20" s="71">
        <f>COUNTIF('BASE DE DADOS'!$J$4:$J$3000,B20)</f>
        <v/>
      </c>
      <c r="D20" s="72">
        <f t="array" ref="D20">SUMPRODUCT(('BASE DE DADOS'!$J$4:$J$3000=B20)*('BASE DE DADOS'!$M$4:$M$3000="Cumprido"))</f>
        <v/>
      </c>
      <c r="E20" s="73">
        <f t="array" ref="E20">SUMPRODUCT(('BASE DE DADOS'!$J$4:$J$3000=B20)*('BASE DE DADOS'!$M$4:$M$3000="Não cumprido"))</f>
        <v/>
      </c>
      <c r="F20" s="74">
        <f>IF(C20=0,"-",TEXT(D20/C20,"0.0%"))</f>
        <v/>
      </c>
    </row>
    <row r="21" ht="19.5" customHeight="1">
      <c r="B21" s="18" t="inlineStr">
        <is>
          <t>Embargos</t>
        </is>
      </c>
      <c r="C21" s="45">
        <f>COUNTIF('BASE DE DADOS'!$J$4:$J$3000,B21)</f>
        <v/>
      </c>
      <c r="D21" s="36">
        <f t="array" ref="D21">SUMPRODUCT(('BASE DE DADOS'!$J$4:$J$3000=B21)*('BASE DE DADOS'!$M$4:$M$3000="Cumprido"))</f>
        <v/>
      </c>
      <c r="E21" s="37">
        <f t="array" ref="E21">SUMPRODUCT(('BASE DE DADOS'!$J$4:$J$3000=B21)*('BASE DE DADOS'!$M$4:$M$3000="Não cumprido"))</f>
        <v/>
      </c>
      <c r="F21" s="20">
        <f>IF(C21=0,"-",TEXT(D21/C21,"0.0%"))</f>
        <v/>
      </c>
    </row>
    <row r="22" ht="19.5" customHeight="1">
      <c r="B22" s="75" t="inlineStr">
        <is>
          <t>Evento</t>
        </is>
      </c>
      <c r="C22" s="71">
        <f>COUNTIF('BASE DE DADOS'!$J$4:$J$3000,B22)</f>
        <v/>
      </c>
      <c r="D22" s="72">
        <f t="array" ref="D22">SUMPRODUCT(('BASE DE DADOS'!$J$4:$J$3000=B22)*('BASE DE DADOS'!$M$4:$M$3000="Cumprido"))</f>
        <v/>
      </c>
      <c r="E22" s="73">
        <f t="array" ref="E22">SUMPRODUCT(('BASE DE DADOS'!$J$4:$J$3000=B22)*('BASE DE DADOS'!$M$4:$M$3000="Não cumprido"))</f>
        <v/>
      </c>
      <c r="F22" s="74" t="n"/>
    </row>
    <row r="23" ht="19.5" customHeight="1">
      <c r="B23" s="69" t="inlineStr">
        <is>
          <t>Prazo</t>
        </is>
      </c>
      <c r="C23" s="45">
        <f>COUNTIF('BASE DE DADOS'!$J$4:$J$3000,B23)</f>
        <v/>
      </c>
      <c r="D23" s="36">
        <f t="array" ref="D23">SUMPRODUCT(('BASE DE DADOS'!$J$4:$J$3000=B23)*('BASE DE DADOS'!$M$4:$M$3000="Cumprido"))</f>
        <v/>
      </c>
      <c r="E23" s="37">
        <f t="array" ref="E23">SUMPRODUCT(('BASE DE DADOS'!$J$4:$J$3000=B23)*('BASE DE DADOS'!$M$4:$M$3000="Não cumprido"))</f>
        <v/>
      </c>
      <c r="F23" s="20" t="n"/>
    </row>
    <row r="24" ht="19.5" customHeight="1">
      <c r="B24" s="75" t="inlineStr">
        <is>
          <t>Tarefa</t>
        </is>
      </c>
      <c r="C24" s="71">
        <f>COUNTIF('BASE DE DADOS'!$J$4:$J$3000,B24)</f>
        <v/>
      </c>
      <c r="D24" s="72">
        <f t="array" ref="D24">SUMPRODUCT(('BASE DE DADOS'!$J$4:$J$3000=B24)*('BASE DE DADOS'!$M$4:$M$3000="Cumprido"))</f>
        <v/>
      </c>
      <c r="E24" s="73">
        <f t="array" ref="E24">SUMPRODUCT(('BASE DE DADOS'!$J$4:$J$3000=B24)*('BASE DE DADOS'!$M$4:$M$3000="Não cumprido"))</f>
        <v/>
      </c>
      <c r="F24" s="74" t="n"/>
    </row>
    <row r="25" ht="19.5" customHeight="1">
      <c r="B25" s="69" t="inlineStr">
        <is>
          <t>Outros</t>
        </is>
      </c>
      <c r="C25" s="45">
        <f>COUNTIF('BASE DE DADOS'!$J$4:$J$3000,B25)</f>
        <v/>
      </c>
      <c r="D25" s="36">
        <f t="array" ref="D25">SUMPRODUCT(('BASE DE DADOS'!$J$4:$J$3000=B25)*('BASE DE DADOS'!$M$4:$M$3000="Cumprido"))</f>
        <v/>
      </c>
      <c r="E25" s="37">
        <f t="array" ref="E25">SUMPRODUCT(('BASE DE DADOS'!$J$4:$J$3000=B25)*('BASE DE DADOS'!$M$4:$M$3000="Não cumprido"))</f>
        <v/>
      </c>
      <c r="F25" s="20">
        <f>IF(C25=0,"-",TEXT(D25/C25,"0.0%"))</f>
        <v/>
      </c>
    </row>
    <row r="26"/>
    <row r="27" ht="31.5" customHeight="1">
      <c r="B27" s="76" t="inlineStr">
        <is>
          <t>PERFORMANCE POR ADVOGADO - PRAZOS</t>
        </is>
      </c>
    </row>
    <row r="28" ht="27.75" customHeight="1">
      <c r="B28" s="17" t="inlineStr">
        <is>
          <t>Responsável</t>
        </is>
      </c>
      <c r="C28" s="17" t="inlineStr">
        <is>
          <t>Total Prazos</t>
        </is>
      </c>
      <c r="D28" s="17" t="inlineStr">
        <is>
          <t>Cumpridos</t>
        </is>
      </c>
      <c r="E28" s="17" t="inlineStr">
        <is>
          <t>Não Cumpridos</t>
        </is>
      </c>
      <c r="F28" s="17" t="inlineStr">
        <is>
          <t>Taxa (%)</t>
        </is>
      </c>
    </row>
    <row r="29" ht="19.5" customHeight="1">
      <c r="B29" s="18" t="inlineStr">
        <is>
          <t>Ronaldo Koyama</t>
        </is>
      </c>
      <c r="C29" s="45">
        <f>IF(B29="","",COUNTIF('BASE DE DADOS'!$L$4:$L$3000,B29))</f>
        <v/>
      </c>
      <c r="D29" s="36">
        <f t="array" ref="D29">IF(B29="","",SUMPRODUCT(('BASE DE DADOS'!$L$4:$L$3000=B29)*('BASE DE DADOS'!$M$4:$M$3000="Cumprido")))</f>
        <v/>
      </c>
      <c r="E29" s="37">
        <f t="array" ref="E29">IF(B29="","",SUMPRODUCT(('BASE DE DADOS'!$L$4:$L$3000=B29)*('BASE DE DADOS'!$M$4:$M$3000="Não cumprido")))</f>
        <v/>
      </c>
      <c r="F29" s="20">
        <f>IF(OR(B29="",C29=0),"-",TEXT(D29/C29,"0.0%"))</f>
        <v/>
      </c>
    </row>
    <row r="30" ht="19.5" customHeight="1">
      <c r="B30" s="70" t="inlineStr">
        <is>
          <t xml:space="preserve">Lucas </t>
        </is>
      </c>
      <c r="C30" s="71">
        <f>IF(B30="","",COUNTIF('BASE DE DADOS'!$L$4:$L$3000,B30))</f>
        <v/>
      </c>
      <c r="D30" s="72">
        <f t="array" ref="D30">IF(B30="","",SUMPRODUCT(('BASE DE DADOS'!$L$4:$L$3000=B30)*('BASE DE DADOS'!$M$4:$M$3000="Cumprido")))</f>
        <v/>
      </c>
      <c r="E30" s="73">
        <f t="array" ref="E30">IF(B30="","",SUMPRODUCT(('BASE DE DADOS'!$L$4:$L$3000=B30)*('BASE DE DADOS'!$M$4:$M$3000="Não cumprido")))</f>
        <v/>
      </c>
      <c r="F30" s="74">
        <f>IF(OR(B30="",C30=0),"-",TEXT(D30/C30,"0.0%"))</f>
        <v/>
      </c>
    </row>
    <row r="31" ht="19.5" customHeight="1">
      <c r="B31" s="18" t="inlineStr">
        <is>
          <t>Luci</t>
        </is>
      </c>
      <c r="C31" s="45">
        <f>IF(B31="","",COUNTIF('BASE DE DADOS'!$L$4:$L$3000,B31))</f>
        <v/>
      </c>
      <c r="D31" s="36">
        <f t="array" ref="D31">IF(B31="","",SUMPRODUCT(('BASE DE DADOS'!$L$4:$L$3000=B31)*('BASE DE DADOS'!$M$4:$M$3000="Cumprido")))</f>
        <v/>
      </c>
      <c r="E31" s="37">
        <f t="array" ref="E31">IF(B31="","",SUMPRODUCT(('BASE DE DADOS'!$L$4:$L$3000=B31)*('BASE DE DADOS'!$M$4:$M$3000="Não cumprido")))</f>
        <v/>
      </c>
      <c r="F31" s="20">
        <f>IF(OR(B31="",C31=0),"-",TEXT(D31/C31,"0.0%"))</f>
        <v/>
      </c>
    </row>
    <row r="32" ht="19.5" customHeight="1">
      <c r="B32" s="18" t="inlineStr">
        <is>
          <t>Julia</t>
        </is>
      </c>
      <c r="C32" s="45">
        <f>IF(B32="","",COUNTIF('BASE DE DADOS'!$L$4:$L$3000,B32))</f>
        <v/>
      </c>
      <c r="D32" s="36">
        <f t="array" ref="D32">IF(B32="","",SUMPRODUCT(('BASE DE DADOS'!$L$4:$L$3000=B32)*('BASE DE DADOS'!$M$4:$M$3000="Cumprido")))</f>
        <v/>
      </c>
      <c r="E32" s="37">
        <f t="array" ref="E32">IF(B32="","",SUMPRODUCT(('BASE DE DADOS'!$L$4:$L$3000=B32)*('BASE DE DADOS'!$M$4:$M$3000="Não cumprido")))</f>
        <v/>
      </c>
      <c r="F32" s="20">
        <f>IF(OR(B32="",C32=0),"-",TEXT(D32/C32,"0.0%"))</f>
        <v/>
      </c>
    </row>
    <row r="33" ht="19.5" customHeight="1">
      <c r="B33" s="18" t="inlineStr">
        <is>
          <t>Pedro Victor</t>
        </is>
      </c>
      <c r="C33" s="45">
        <f>IF(B33="","",COUNTIF('BASE DE DADOS'!$L$4:$L$3000,B33))</f>
        <v/>
      </c>
      <c r="D33" s="36">
        <f t="array" ref="D33">IF(B33="","",SUMPRODUCT(('BASE DE DADOS'!$L$4:$L$3000=B33)*('BASE DE DADOS'!$M$4:$M$3000="Cumprido")))</f>
        <v/>
      </c>
      <c r="E33" s="37">
        <f t="array" ref="E33">IF(B33="","",SUMPRODUCT(('BASE DE DADOS'!$L$4:$L$3000=B33)*('BASE DE DADOS'!$M$4:$M$3000="Não cumprido")))</f>
        <v/>
      </c>
      <c r="F33" s="20">
        <f>IF(OR(B33="",C33=0),"-",TEXT(D33/C33,"0.0%"))</f>
        <v/>
      </c>
    </row>
    <row r="34" ht="19.5" customHeight="1">
      <c r="B34" s="18" t="inlineStr">
        <is>
          <t xml:space="preserve">Alexia </t>
        </is>
      </c>
      <c r="C34" s="45">
        <f>IF(B34="","",COUNTIF('BASE DE DADOS'!$L$4:$L$3000,B34))</f>
        <v/>
      </c>
      <c r="D34" s="36">
        <f t="array" ref="D34">IF(B34="","",SUMPRODUCT(('BASE DE DADOS'!$L$4:$L$3000=B34)*('BASE DE DADOS'!$M$4:$M$3000="Cumprido")))</f>
        <v/>
      </c>
      <c r="E34" s="37">
        <f t="array" ref="E34">IF(B34="","",SUMPRODUCT(('BASE DE DADOS'!$L$4:$L$3000=B34)*('BASE DE DADOS'!$M$4:$M$3000="Não cumprido")))</f>
        <v/>
      </c>
      <c r="F34" s="20">
        <f>IF(OR(B34="",C34=0),"-",TEXT(D34/C34,"0.0%"))</f>
        <v/>
      </c>
    </row>
    <row r="35" ht="19.5" customHeight="1">
      <c r="B35" s="70" t="inlineStr">
        <is>
          <t>Jessica</t>
        </is>
      </c>
      <c r="C35" s="71">
        <f>IF(B35="","",COUNTIF('BASE DE DADOS'!$L$4:$L$3000,B35))</f>
        <v/>
      </c>
      <c r="D35" s="72">
        <f t="array" ref="D35">IF(B35="","",SUMPRODUCT(('BASE DE DADOS'!$L$4:$L$3000=B35)*('BASE DE DADOS'!$M$4:$M$3000="Cumprido")))</f>
        <v/>
      </c>
      <c r="E35" s="73">
        <f t="array" ref="E35">IF(B35="","",SUMPRODUCT(('BASE DE DADOS'!$L$4:$L$3000=B35)*('BASE DE DADOS'!$M$4:$M$3000="Não cumprido")))</f>
        <v/>
      </c>
      <c r="F35" s="74">
        <f>IF(OR(B35="",C35=0),"-",TEXT(D35/C35,"0.0%"))</f>
        <v/>
      </c>
    </row>
    <row r="36" ht="19.5" customHeight="1">
      <c r="B36" s="70" t="inlineStr">
        <is>
          <t>Marelize Controladoria</t>
        </is>
      </c>
      <c r="C36" s="71">
        <f>IF(B36="","",COUNTIF('BASE DE DADOS'!$L$4:$L$3000,B36))</f>
        <v/>
      </c>
      <c r="D36" s="72">
        <f t="array" ref="D36">IF(B36="","",SUMPRODUCT(('BASE DE DADOS'!$L$4:$L$3000=B36)*('BASE DE DADOS'!$M$4:$M$3000="Cumprido")))</f>
        <v/>
      </c>
      <c r="E36" s="73">
        <f t="array" ref="E36">IF(B36="","",SUMPRODUCT(('BASE DE DADOS'!$L$4:$L$3000=B36)*('BASE DE DADOS'!$M$4:$M$3000="Não cumprido")))</f>
        <v/>
      </c>
      <c r="F36" s="74">
        <f>IF(OR(B36="",C36=0),"-",TEXT(D36/C36,"0.0%"))</f>
        <v/>
      </c>
    </row>
    <row r="37">
      <c r="B37" s="70" t="inlineStr">
        <is>
          <t>Renata Francisco Becker</t>
        </is>
      </c>
      <c r="C37" s="71">
        <f>IF(B37="","",COUNTIF('BASE DE DADOS'!$L$4:$L$3000,B37))</f>
        <v/>
      </c>
      <c r="D37" s="72">
        <f t="array" ref="D37">IF(B37="","",SUMPRODUCT(('BASE DE DADOS'!$L$4:$L$3000=B37)*('BASE DE DADOS'!$M$4:$M$3000="Cumprido")))</f>
        <v/>
      </c>
      <c r="E37" s="73">
        <f t="array" ref="E37">IF(B37="","",SUMPRODUCT(('BASE DE DADOS'!$L$4:$L$3000=B37)*('BASE DE DADOS'!$M$4:$M$3000="Não cumprido")))</f>
        <v/>
      </c>
      <c r="F37" s="74">
        <f>IF(OR(B37="",C37=0),"-",TEXT(D37/C37,"0.0%"))</f>
        <v/>
      </c>
    </row>
    <row r="38"/>
    <row r="39"/>
    <row r="40"/>
    <row r="41"/>
    <row r="42">
      <c r="A42" s="77" t="inlineStr">
        <is>
          <t>K Controllers  |  kcontrollers.com.br  |  Controladoria Jurídica na prática.</t>
        </is>
      </c>
    </row>
  </sheetData>
  <autoFilter ref="B28:F28">
    <sortState ref="B29:F37">
      <sortCondition ref="C28"/>
    </sortState>
  </autoFilter>
  <mergeCells count="8">
    <mergeCell ref="A2:L2"/>
    <mergeCell ref="A42:P42"/>
    <mergeCell ref="B11:C11"/>
    <mergeCell ref="A1:L1"/>
    <mergeCell ref="B5:F5"/>
    <mergeCell ref="A3:L3"/>
    <mergeCell ref="B27:F27"/>
    <mergeCell ref="B13:F13"/>
  </mergeCells>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2026-03-24T12:28:41Z</dcterms:created>
  <dcterms:modified xmlns:dcterms="http://purl.org/dc/terms/" xmlns:xsi="http://www.w3.org/2001/XMLSchema-instance" xsi:type="dcterms:W3CDTF">2026-10-23T18:51:50Z</dcterms:modified>
  <cp:lastModifiedBy>Nathalya Pereira</cp:lastModifiedBy>
  <cp:revision>1</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0x010100EA3B1FFA94459849A693B1ABE3E830A8</vt:lpwstr>
  </property>
</Properties>
</file>